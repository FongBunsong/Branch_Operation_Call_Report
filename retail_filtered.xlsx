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nsong.fong\Code\Call_Query\"/>
    </mc:Choice>
  </mc:AlternateContent>
  <xr:revisionPtr revIDLastSave="0" documentId="13_ncr:1_{5FFA3C85-B1C7-4174-97FB-E1B4853CDDF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 a="1"/>
  <c r="I5" i="2" s="1"/>
  <c r="B3" i="2"/>
  <c r="B2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J2" i="1"/>
  <c r="J3" i="1"/>
  <c r="A2" i="2" s="1" a="1"/>
  <c r="J4" i="1"/>
  <c r="J5" i="1"/>
  <c r="F5" i="2" s="1" a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5" i="2" l="1"/>
  <c r="J10" i="2"/>
  <c r="J9" i="2"/>
  <c r="J11" i="2"/>
  <c r="J12" i="2"/>
  <c r="J6" i="2"/>
  <c r="J7" i="2"/>
  <c r="J8" i="2"/>
  <c r="G25" i="2"/>
  <c r="G26" i="2"/>
  <c r="G16" i="2"/>
  <c r="G14" i="2"/>
  <c r="G13" i="2"/>
  <c r="G12" i="2"/>
  <c r="G15" i="2"/>
  <c r="G17" i="2"/>
  <c r="F5" i="2"/>
  <c r="G5" i="2" s="1"/>
  <c r="G18" i="2"/>
  <c r="G19" i="2"/>
  <c r="G6" i="2"/>
  <c r="G20" i="2"/>
  <c r="G7" i="2"/>
  <c r="G21" i="2"/>
  <c r="G8" i="2"/>
  <c r="G22" i="2"/>
  <c r="G9" i="2"/>
  <c r="G23" i="2"/>
  <c r="G10" i="2"/>
  <c r="G24" i="2"/>
  <c r="G11" i="2"/>
  <c r="A2" i="2"/>
  <c r="B17" i="2"/>
  <c r="B5" i="2"/>
  <c r="B19" i="2"/>
  <c r="B20" i="2"/>
  <c r="B7" i="2"/>
  <c r="B21" i="2"/>
  <c r="B8" i="2"/>
  <c r="B22" i="2"/>
  <c r="B12" i="2"/>
  <c r="B14" i="2"/>
  <c r="B4" i="2"/>
  <c r="B18" i="2"/>
  <c r="B6" i="2"/>
  <c r="B13" i="2"/>
  <c r="B9" i="2"/>
  <c r="B23" i="2"/>
  <c r="B10" i="2"/>
  <c r="B11" i="2"/>
  <c r="B15" i="2"/>
  <c r="B1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<sst xmlns="http://schemas.openxmlformats.org/spreadsheetml/2006/main" count="1455" uniqueCount="508">
  <si>
    <t>call_id</t>
  </si>
  <si>
    <t>call_datetime</t>
  </si>
  <si>
    <t>customer_name</t>
  </si>
  <si>
    <t>customer_phone</t>
  </si>
  <si>
    <t>staff_id</t>
  </si>
  <si>
    <t>caller_name</t>
  </si>
  <si>
    <t>call_status</t>
  </si>
  <si>
    <t>call_purpose</t>
  </si>
  <si>
    <t>remark</t>
  </si>
  <si>
    <t>PON LAI</t>
  </si>
  <si>
    <t>VIN Annchhy</t>
  </si>
  <si>
    <t>Pick Up</t>
  </si>
  <si>
    <t>Inactive Card/Merchant</t>
  </si>
  <si>
    <t>She is owner of car garage.Inform merchant in active she wills scan .Promote loan &amp; TD. She not interested all. She keep fund for run business. Loan She will contact us back when she needs.</t>
  </si>
  <si>
    <t>SRUN SOKPEOU</t>
  </si>
  <si>
    <t>He is owner of grocery shop.n Promote Card. He is wills thinking about it. Inform merchant inactive and promote merchant promotion he will scan.</t>
  </si>
  <si>
    <t>Sin mouykeang</t>
  </si>
  <si>
    <t>SOK Vuchnay</t>
  </si>
  <si>
    <t>Other</t>
  </si>
  <si>
    <t>inform customer come to pick up card, now customer at oversea ,maybe on monday or tuesday.</t>
  </si>
  <si>
    <t>LIZA</t>
  </si>
  <si>
    <t>Na Moneath</t>
  </si>
  <si>
    <t>PROMOTE FOR MERCHANT ACCOUNT</t>
  </si>
  <si>
    <t>Thin phanna</t>
  </si>
  <si>
    <t>PROMOTE VISA CARD /TD/ LOAD NEW CUSTOMER</t>
  </si>
  <si>
    <t>JEA PHEA</t>
  </si>
  <si>
    <t>ANG</t>
  </si>
  <si>
    <t>LEANG</t>
  </si>
  <si>
    <t>WIN NY</t>
  </si>
  <si>
    <t>PROMOTE FOR CASA ACCOUNT</t>
  </si>
  <si>
    <t>CHHAO SAVON</t>
  </si>
  <si>
    <t>She Not Interest Because she has a lot bank account</t>
  </si>
  <si>
    <t>Bres Theara</t>
  </si>
  <si>
    <t>PROMOTE VISA CARD /TD/ NEW CUSTOMER</t>
  </si>
  <si>
    <t>TU DANE</t>
  </si>
  <si>
    <t>SREY NOY</t>
  </si>
  <si>
    <t>NITA</t>
  </si>
  <si>
    <t>TIN CHANSIM</t>
  </si>
  <si>
    <t>TEANG Lim Houng</t>
  </si>
  <si>
    <t>CALL CONFIRM ABOUT NID EXSPIRED AND PROMOTE KHQR,LOAN CUSTOMER NOT YET INTEREST.</t>
  </si>
  <si>
    <t>DINA</t>
  </si>
  <si>
    <t>KONG RATHA</t>
  </si>
  <si>
    <t>CALL ON 15.05.26 CUSTOMER NOT YET INTEREST .</t>
  </si>
  <si>
    <t>IEB MANH</t>
  </si>
  <si>
    <t>CHOU KOEMCHHIENG</t>
  </si>
  <si>
    <t>CUSTOMER USE TO CARD.</t>
  </si>
  <si>
    <t>PECH MENGLONG</t>
  </si>
  <si>
    <t>CUSTOMER NOT TO PICK UP CARD.</t>
  </si>
  <si>
    <t>SOK POV</t>
  </si>
  <si>
    <t>YEM SOTHEAROTH</t>
  </si>
  <si>
    <t>Not Pick Up</t>
  </si>
  <si>
    <t>CUSTOMER NOT PICK UP.</t>
  </si>
  <si>
    <t>VUTH DALIYA</t>
  </si>
  <si>
    <t>CALL CONFIRM ABOUT NID EXSPIRED.</t>
  </si>
  <si>
    <t>YON SAMORL</t>
  </si>
  <si>
    <t>Wrong Number</t>
  </si>
  <si>
    <t>HEAN MANIN</t>
  </si>
  <si>
    <t>CALL CONFIRM ABOUT ACCOUNT TO BE DORMANT.</t>
  </si>
  <si>
    <t>SOPHEA SREYPICH</t>
  </si>
  <si>
    <t>KOUY THAVI</t>
  </si>
  <si>
    <t>NONG SOKKHA</t>
  </si>
  <si>
    <t>inform about merchant inactive and tell about promotion KHQR, cross saLe loan but customer not yet interest.</t>
  </si>
  <si>
    <t>SAO SOPHEAK</t>
  </si>
  <si>
    <t>CHEY SEYHA</t>
  </si>
  <si>
    <t>inform about merchant inactive, account dormant and tell about promotion KHQR, cross saLe loan but customer not yet interest.</t>
  </si>
  <si>
    <t>PRAK SOTHAVATTEY</t>
  </si>
  <si>
    <t>OU Leakhena</t>
  </si>
  <si>
    <t>Insurance</t>
  </si>
  <si>
    <t>Call to convince use Insurance she consider with her family</t>
  </si>
  <si>
    <t>YIB KAKADA</t>
  </si>
  <si>
    <t>He change to work at Koh Kong . Promote visa card. He has no demand yet.</t>
  </si>
  <si>
    <t>SRENG RATHANA</t>
  </si>
  <si>
    <t>Call to promote KHQR and visa card she will use KHQR and reject visa card</t>
  </si>
  <si>
    <t>PECH SAMON</t>
  </si>
  <si>
    <t>Customer interest for open account.</t>
  </si>
  <si>
    <t>CHANDA</t>
  </si>
  <si>
    <t>Customer not yet interest for open account.</t>
  </si>
  <si>
    <t>KIM CHHUN</t>
  </si>
  <si>
    <t>Customer not yet interest for open account and Visa card.</t>
  </si>
  <si>
    <t>SREYLIN</t>
  </si>
  <si>
    <t>Nan Rina</t>
  </si>
  <si>
    <t>New Fee Charge</t>
  </si>
  <si>
    <t>VAN SOCHEA</t>
  </si>
  <si>
    <t>Loan</t>
  </si>
  <si>
    <t>PHACH KIMLY</t>
  </si>
  <si>
    <t>MEN HORNREAKSMEY</t>
  </si>
  <si>
    <t>HAN MOUYKEANG</t>
  </si>
  <si>
    <t>inform about account to be doment, cross sale TD But customer not yet interest.</t>
  </si>
  <si>
    <t>KHEN HAK</t>
  </si>
  <si>
    <t>TAN YOU HENG</t>
  </si>
  <si>
    <t>inform about account to be domant, cross sale TD But customer not yet interest.</t>
  </si>
  <si>
    <t>PHARA SONITA</t>
  </si>
  <si>
    <t>inform about to be domant, cross sale loan  TD But customer not yet interest.</t>
  </si>
  <si>
    <t>MENG CHANTHOEURN</t>
  </si>
  <si>
    <t>HENG Sreyleak</t>
  </si>
  <si>
    <t>customer will be come to branch change NID. and cross sale loan customer not intertest .</t>
  </si>
  <si>
    <t>BOU HUY</t>
  </si>
  <si>
    <t>call customer NID expriey. can't contact customer wrong number.</t>
  </si>
  <si>
    <t>VONG NARY</t>
  </si>
  <si>
    <t>She Not interest she has a lot bank account</t>
  </si>
  <si>
    <t>Chi nary</t>
  </si>
  <si>
    <t>NY Dane</t>
  </si>
  <si>
    <t>Call to her about Dormant and she will come to close</t>
  </si>
  <si>
    <t>KHENG SOKLEN</t>
  </si>
  <si>
    <t>Calling about Dormant but not pick up.</t>
  </si>
  <si>
    <t>SEM SALATH</t>
  </si>
  <si>
    <t>Calling about Dormant and she will do more transaction</t>
  </si>
  <si>
    <t>SAR SREYHUOCH</t>
  </si>
  <si>
    <t>inform about NID expired, Cross sale loan, TD But customer not yet interest.</t>
  </si>
  <si>
    <t>KO KO OO</t>
  </si>
  <si>
    <t>Annual Fee</t>
  </si>
  <si>
    <t>He already informed to close.</t>
  </si>
  <si>
    <t>NY AOUYKHING</t>
  </si>
  <si>
    <t>NHOEK SEREYVISAL</t>
  </si>
  <si>
    <t>He has already known about condition, and he will do more transaction.</t>
  </si>
  <si>
    <t>SENG YOUKIM</t>
  </si>
  <si>
    <t>Busy</t>
  </si>
  <si>
    <t>She not pickup phone</t>
  </si>
  <si>
    <t>HAK VANCHHAI</t>
  </si>
  <si>
    <t>OU SOVATTEY</t>
  </si>
  <si>
    <t>VOUEN Chanthy</t>
  </si>
  <si>
    <t>List Visa Card from HQ</t>
  </si>
  <si>
    <t>YUOS THIDA</t>
  </si>
  <si>
    <t>Customer Said Go to Branch for close already She stop use</t>
  </si>
  <si>
    <t>DARA SONIDA</t>
  </si>
  <si>
    <t>Visa Card from HQ</t>
  </si>
  <si>
    <t>KANG SOVANNARA</t>
  </si>
  <si>
    <t>SRY MUOY HEANG</t>
  </si>
  <si>
    <t>LENG VUTHY</t>
  </si>
  <si>
    <t>KHENG MEYMEY</t>
  </si>
  <si>
    <t>CHROENG SOCHAN</t>
  </si>
  <si>
    <t>INFORM CUSTOMER  FOR NID EXPIRY</t>
  </si>
  <si>
    <t>CHEA SENGYI</t>
  </si>
  <si>
    <t>LEANG TANG ENG</t>
  </si>
  <si>
    <t>He Will do More Transaction</t>
  </si>
  <si>
    <t>chun sreysdeung</t>
  </si>
  <si>
    <t>ROUEB RATHANAK</t>
  </si>
  <si>
    <t>INFORM CUSTOMER FOR DORMANT ACCOUNT</t>
  </si>
  <si>
    <t>NUON SEYHA</t>
  </si>
  <si>
    <t>SAM MANY</t>
  </si>
  <si>
    <t>INFORM CUSTOMER FOR  NID EXPIRY</t>
  </si>
  <si>
    <t>NGET SOKUNTHEA</t>
  </si>
  <si>
    <t>LOR SOPHEA</t>
  </si>
  <si>
    <t>CUSTOMER NOT YET INTEREST</t>
  </si>
  <si>
    <t>LAY DALIM</t>
  </si>
  <si>
    <t>CUSTOMER INTEREST</t>
  </si>
  <si>
    <t>UOM KIMHEAK</t>
  </si>
  <si>
    <t>INFORM CUSTOMER FOR NID EXPIRY</t>
  </si>
  <si>
    <t>PROM ROMENY</t>
  </si>
  <si>
    <t>CHHENG MAO</t>
  </si>
  <si>
    <t>OPEN CASA ACCOUNT AND TD</t>
  </si>
  <si>
    <t>LY NARY</t>
  </si>
  <si>
    <t>HIM HOEURN</t>
  </si>
  <si>
    <t>call customer NID Expriey. wrong number.</t>
  </si>
  <si>
    <t>PHOEUK MARA</t>
  </si>
  <si>
    <t>FD TDOLLOW  CUSTOMER AND PROMOTE CARD AN</t>
  </si>
  <si>
    <t>SAM CHANDARA</t>
  </si>
  <si>
    <t>PROMOTE CARD/TD/LOAD FOR CUSTOMER</t>
  </si>
  <si>
    <t>NOEUN CHEK</t>
  </si>
  <si>
    <t>KUN LAKNA</t>
  </si>
  <si>
    <t>call customer NID expriey. customer will be update by TG call center</t>
  </si>
  <si>
    <t>IV SAMPHOS</t>
  </si>
  <si>
    <t>FOLLOW FOR EXPIRED NID AND DORMANT</t>
  </si>
  <si>
    <t>CHEN NHANH</t>
  </si>
  <si>
    <t>srey samnang</t>
  </si>
  <si>
    <t>Will come to open CASA when he has time</t>
  </si>
  <si>
    <t>DY VANNDETH</t>
  </si>
  <si>
    <t>FOLLOW FOR DORMANT ACCOUNT</t>
  </si>
  <si>
    <t>SIN VIREAK</t>
  </si>
  <si>
    <t>MOTH Chanbormey</t>
  </si>
  <si>
    <t>Annual fee Card platinum</t>
  </si>
  <si>
    <t>TANG HOKLAY</t>
  </si>
  <si>
    <t>SAO RAKSMEYANGKEA</t>
  </si>
  <si>
    <t>FOLLOW FOR EXPIRED AND DORMANT ACCOUNT</t>
  </si>
  <si>
    <t>CHENG MENGGECH</t>
  </si>
  <si>
    <t>DOM VICH RAKSEY</t>
  </si>
  <si>
    <t>Annual fee Card platinum, pick up call but he's busy and Contacted TG</t>
  </si>
  <si>
    <t>LI CHAOGUI</t>
  </si>
  <si>
    <t>PHEARUN THEAROTH</t>
  </si>
  <si>
    <t>She already stop using</t>
  </si>
  <si>
    <t>MUOK DANETH</t>
  </si>
  <si>
    <t>She will do more transactions</t>
  </si>
  <si>
    <t>KENG SINAT</t>
  </si>
  <si>
    <t>done inform promotion and annual fee</t>
  </si>
  <si>
    <t>Pi seth</t>
  </si>
  <si>
    <t>Promote him to open account and Loan but she is not interested yet</t>
  </si>
  <si>
    <t>Sophanith</t>
  </si>
  <si>
    <t>NHEK KIENGSENG</t>
  </si>
  <si>
    <t>done inform promotion and annual fee, he will try to use.</t>
  </si>
  <si>
    <t>CHHENG VOUCH HEANG</t>
  </si>
  <si>
    <t>Done inform ,</t>
  </si>
  <si>
    <t>THEARITH</t>
  </si>
  <si>
    <t>SANN PANHASIT</t>
  </si>
  <si>
    <t>He want to open premier account.</t>
  </si>
  <si>
    <t>ENG DAVIT</t>
  </si>
  <si>
    <t>ENG Rosenika</t>
  </si>
  <si>
    <t>promote our account and credit card but customer not interesting yet</t>
  </si>
  <si>
    <t>VUN VETH</t>
  </si>
  <si>
    <t>He just uses loan with AC</t>
  </si>
  <si>
    <t>THA TINY</t>
  </si>
  <si>
    <t>She want to open premier account.</t>
  </si>
  <si>
    <t>LONG PHALLEAP</t>
  </si>
  <si>
    <t>SOK KIMDA</t>
  </si>
  <si>
    <t>No Need to use now</t>
  </si>
  <si>
    <t>RETH NARA</t>
  </si>
  <si>
    <t>Keo Sreyoun</t>
  </si>
  <si>
    <t>NEW CUSTOMER</t>
  </si>
  <si>
    <t>Chan Kimteang</t>
  </si>
  <si>
    <t>TD Top UP</t>
  </si>
  <si>
    <t>Taing Guek Teang</t>
  </si>
  <si>
    <t>Loan SME</t>
  </si>
  <si>
    <t>Rin Raksa</t>
  </si>
  <si>
    <t>Premier account first TD consideration</t>
  </si>
  <si>
    <t>TOUS SAPHOEUN</t>
  </si>
  <si>
    <t>NOU Pharin</t>
  </si>
  <si>
    <t>Preferred Account Clean up. Customer will come to change account class.</t>
  </si>
  <si>
    <t>LUU VANTHA</t>
  </si>
  <si>
    <t>Preferred Account Clean up. (4times)</t>
  </si>
  <si>
    <t>SOK PENHPUTKANIKA</t>
  </si>
  <si>
    <t>TENG MOUY</t>
  </si>
  <si>
    <t>Preferred Account Clean up. (3times)</t>
  </si>
  <si>
    <t>LY SOPHOL</t>
  </si>
  <si>
    <t>Call Inform about condition and annual fee charge of Visa Debit Card Platinum.</t>
  </si>
  <si>
    <t>PHYRUN THANAKSITH</t>
  </si>
  <si>
    <t>NEANG YOURIKO</t>
  </si>
  <si>
    <t>MUON KEORITHYLEAP</t>
  </si>
  <si>
    <t>CHREK KANYANA</t>
  </si>
  <si>
    <t>OUK LINDA</t>
  </si>
  <si>
    <t>YIN SAMBO</t>
  </si>
  <si>
    <t>KROCH SEYLA</t>
  </si>
  <si>
    <t>KEO VANNAY</t>
  </si>
  <si>
    <t>BUNNA PANHAVATEY</t>
  </si>
  <si>
    <t>SOK CHANNY</t>
  </si>
  <si>
    <t>ENG MOUYHEANG</t>
  </si>
  <si>
    <t>SAY CHHAY</t>
  </si>
  <si>
    <t>IM MALEE</t>
  </si>
  <si>
    <t>SITHON SOMANEA</t>
  </si>
  <si>
    <t>ROS ZANIKA</t>
  </si>
  <si>
    <t>SOUNG JINGJING</t>
  </si>
  <si>
    <t>SOR SOPHEARITH</t>
  </si>
  <si>
    <t>KEN RATHA</t>
  </si>
  <si>
    <t>TE KEAHEANG</t>
  </si>
  <si>
    <t>ALILIE PATIS LAURON</t>
  </si>
  <si>
    <t>Branch_Name</t>
  </si>
  <si>
    <t>Call_Number</t>
  </si>
  <si>
    <t>Personnel Number</t>
  </si>
  <si>
    <t>Name</t>
  </si>
  <si>
    <t>Entry Date</t>
  </si>
  <si>
    <t>Branch</t>
  </si>
  <si>
    <t>Shift</t>
  </si>
  <si>
    <t>Employee Status</t>
  </si>
  <si>
    <t>Team</t>
  </si>
  <si>
    <t>Length</t>
  </si>
  <si>
    <t>Remark</t>
  </si>
  <si>
    <t>Effective Date</t>
  </si>
  <si>
    <t>Dane SAN</t>
  </si>
  <si>
    <t>Toul Kork</t>
  </si>
  <si>
    <t>Normal Shift</t>
  </si>
  <si>
    <t>Active</t>
  </si>
  <si>
    <t xml:space="preserve">Team Lead </t>
  </si>
  <si>
    <t xml:space="preserve">7y 4m 6d </t>
  </si>
  <si>
    <t>Vouchleng KIM</t>
  </si>
  <si>
    <t>Sen Sok Mall</t>
  </si>
  <si>
    <t>DBMO</t>
  </si>
  <si>
    <t xml:space="preserve">7y 3m 15d </t>
  </si>
  <si>
    <t>Sokunthy CHENG</t>
  </si>
  <si>
    <t>Preah Norodom</t>
  </si>
  <si>
    <t xml:space="preserve">7y 0m 22d </t>
  </si>
  <si>
    <t>Sony VUTHY</t>
  </si>
  <si>
    <t>Mao Tse Toung</t>
  </si>
  <si>
    <t xml:space="preserve">7y 0m 18d </t>
  </si>
  <si>
    <t>Serey CHAN</t>
  </si>
  <si>
    <t>Noromall</t>
  </si>
  <si>
    <t xml:space="preserve">6y 10m 4d </t>
  </si>
  <si>
    <t>Solim TENG</t>
  </si>
  <si>
    <t xml:space="preserve">6y 5m 5d </t>
  </si>
  <si>
    <t>Transfer to HR</t>
  </si>
  <si>
    <t>Votey VORNG</t>
  </si>
  <si>
    <t>Veng Sreng</t>
  </si>
  <si>
    <t xml:space="preserve">6y 4m 7d </t>
  </si>
  <si>
    <t>Seanghorn LEAV</t>
  </si>
  <si>
    <t>Phsar DermThkov</t>
  </si>
  <si>
    <t xml:space="preserve">6y 3m 3d </t>
  </si>
  <si>
    <t>Leakhena KENG</t>
  </si>
  <si>
    <t>Night Shift</t>
  </si>
  <si>
    <t xml:space="preserve">6y 3m 1d </t>
  </si>
  <si>
    <t>Sokunthy PHENG</t>
  </si>
  <si>
    <t>271 Mega Mall</t>
  </si>
  <si>
    <t xml:space="preserve">6y 3m 10d </t>
  </si>
  <si>
    <t>Transfer to DBM Sale</t>
  </si>
  <si>
    <t>Chansreynouch NOM</t>
  </si>
  <si>
    <t>Bak Touk</t>
  </si>
  <si>
    <t xml:space="preserve">6y 2m 20d </t>
  </si>
  <si>
    <t>Sovannara SOK</t>
  </si>
  <si>
    <t>Sreymach THORNG</t>
  </si>
  <si>
    <t>Kampong Cham</t>
  </si>
  <si>
    <t xml:space="preserve">5y 11m 5d </t>
  </si>
  <si>
    <t>Team Lead KPC</t>
  </si>
  <si>
    <t>Sovitheavy SAM</t>
  </si>
  <si>
    <t xml:space="preserve">6y 1m 0d </t>
  </si>
  <si>
    <t>Lyheang TEA</t>
  </si>
  <si>
    <t>Boeung Salang</t>
  </si>
  <si>
    <t>Tranfer to NPI</t>
  </si>
  <si>
    <t>Kanika TAT</t>
  </si>
  <si>
    <t>Battambang</t>
  </si>
  <si>
    <t>Teller</t>
  </si>
  <si>
    <t>Leakhena OU</t>
  </si>
  <si>
    <t>CSO</t>
  </si>
  <si>
    <t>Lalen HEANG</t>
  </si>
  <si>
    <t>Transfer to Credit Admin KPC</t>
  </si>
  <si>
    <t>Minea PRUM</t>
  </si>
  <si>
    <t>Annchhy VIN</t>
  </si>
  <si>
    <t>On maternity leave</t>
  </si>
  <si>
    <t>Sotheary CHHEAN</t>
  </si>
  <si>
    <t>Vorleakhena KEO</t>
  </si>
  <si>
    <t>Siem Reap</t>
  </si>
  <si>
    <t xml:space="preserve">6y 0m 3d </t>
  </si>
  <si>
    <t>Sreynika SOK</t>
  </si>
  <si>
    <t xml:space="preserve">5y 10m 1d </t>
  </si>
  <si>
    <t>Sophanith UN</t>
  </si>
  <si>
    <t xml:space="preserve">5y 8m 20d </t>
  </si>
  <si>
    <t>Huykung HENG</t>
  </si>
  <si>
    <t>Transfer to Sale SRP</t>
  </si>
  <si>
    <t>Saiyorn HO</t>
  </si>
  <si>
    <t xml:space="preserve">5y 6m 22d </t>
  </si>
  <si>
    <t>Team Lead BSL</t>
  </si>
  <si>
    <t>Chansotheanith POY</t>
  </si>
  <si>
    <t>Soleak SREN</t>
  </si>
  <si>
    <t xml:space="preserve">5y 4m 16d </t>
  </si>
  <si>
    <t>Vanmolyady KHOUT</t>
  </si>
  <si>
    <t>Chip Mong Tower</t>
  </si>
  <si>
    <t xml:space="preserve">5y 4m 9d </t>
  </si>
  <si>
    <t>Dany SORM</t>
  </si>
  <si>
    <t xml:space="preserve">4y 6m 12d </t>
  </si>
  <si>
    <t>Transfer to Sale BB</t>
  </si>
  <si>
    <t>Vuchnay SOK</t>
  </si>
  <si>
    <t xml:space="preserve">Team Lead NRM Normal Shift </t>
  </si>
  <si>
    <t>Seivoly TY</t>
  </si>
  <si>
    <t>Transfer to Branch Support</t>
  </si>
  <si>
    <t>Sreymom CHOEUN</t>
  </si>
  <si>
    <t>598 Mall</t>
  </si>
  <si>
    <t>Transfer to Sale RB</t>
  </si>
  <si>
    <t>Kanha AN</t>
  </si>
  <si>
    <t>Malen OUCH</t>
  </si>
  <si>
    <t>Mariya SO</t>
  </si>
  <si>
    <t xml:space="preserve">4y 4m 17d </t>
  </si>
  <si>
    <t>Srey Meas HEM</t>
  </si>
  <si>
    <t xml:space="preserve">4y 2m 22d </t>
  </si>
  <si>
    <t>Sreyden HOEUN</t>
  </si>
  <si>
    <t xml:space="preserve">4y 1m 2d </t>
  </si>
  <si>
    <t>Seavmey HUOT</t>
  </si>
  <si>
    <t>598 mall</t>
  </si>
  <si>
    <t xml:space="preserve">3y 11m 7d </t>
  </si>
  <si>
    <t>Sivmey SIN</t>
  </si>
  <si>
    <t>Chanlalin MENG</t>
  </si>
  <si>
    <t>Chanbormey MOTH</t>
  </si>
  <si>
    <t>Solita EM</t>
  </si>
  <si>
    <t>Sotheary POV</t>
  </si>
  <si>
    <t xml:space="preserve">3y 8m 29d </t>
  </si>
  <si>
    <t>Transfer to Business Partner</t>
  </si>
  <si>
    <t>Chentra ENG</t>
  </si>
  <si>
    <t xml:space="preserve">3y 7m 22d </t>
  </si>
  <si>
    <t>Laty SRUN</t>
  </si>
  <si>
    <t xml:space="preserve">3y 8m 15d </t>
  </si>
  <si>
    <t>Propose to DBM Sale</t>
  </si>
  <si>
    <t>Dalis VON</t>
  </si>
  <si>
    <t xml:space="preserve">3y 7m 18d </t>
  </si>
  <si>
    <t>Sopheaktra OUN</t>
  </si>
  <si>
    <t xml:space="preserve">3y 7m 14d </t>
  </si>
  <si>
    <t xml:space="preserve">DBMO BTK Night Shift </t>
  </si>
  <si>
    <t>Kunthea CHAN</t>
  </si>
  <si>
    <t xml:space="preserve">3y 6m 20d </t>
  </si>
  <si>
    <t>Sreynuth SUN</t>
  </si>
  <si>
    <t xml:space="preserve">3y 7m 2d </t>
  </si>
  <si>
    <t>Chanpolin PICH</t>
  </si>
  <si>
    <t xml:space="preserve">3y 6m 11d </t>
  </si>
  <si>
    <t>Reach MENG</t>
  </si>
  <si>
    <t>Chantey CHUOB</t>
  </si>
  <si>
    <t>Sovatey OUK</t>
  </si>
  <si>
    <t>Meily SOK</t>
  </si>
  <si>
    <t>Pharin NOU</t>
  </si>
  <si>
    <t xml:space="preserve">3y 4m 22d </t>
  </si>
  <si>
    <t>Kim Houng THORN</t>
  </si>
  <si>
    <t xml:space="preserve">3y 3m 21d </t>
  </si>
  <si>
    <t>Sreyleak HENG</t>
  </si>
  <si>
    <t xml:space="preserve">3y 0m 20d </t>
  </si>
  <si>
    <t>Sreypov HY</t>
  </si>
  <si>
    <t xml:space="preserve">3y 0m 3d </t>
  </si>
  <si>
    <t>Sometheavy MEAS</t>
  </si>
  <si>
    <t xml:space="preserve">2y 10m 29d </t>
  </si>
  <si>
    <t>Seang Eu NHON</t>
  </si>
  <si>
    <t xml:space="preserve">3y 0m 13d </t>
  </si>
  <si>
    <t>Phally PHEN</t>
  </si>
  <si>
    <t xml:space="preserve">2y 11m 14d </t>
  </si>
  <si>
    <t>Chanthy VOUEN</t>
  </si>
  <si>
    <t xml:space="preserve">3y 0m 4d </t>
  </si>
  <si>
    <t>Tevy SOPHEA</t>
  </si>
  <si>
    <t xml:space="preserve">1y 11m 3d </t>
  </si>
  <si>
    <t>Linna CHHORN</t>
  </si>
  <si>
    <t xml:space="preserve">1y 10m 6d </t>
  </si>
  <si>
    <t>Sotepy TRY</t>
  </si>
  <si>
    <t xml:space="preserve">1y 10m 17d </t>
  </si>
  <si>
    <t xml:space="preserve">Transfer to Risk </t>
  </si>
  <si>
    <t>Chealinh LONG</t>
  </si>
  <si>
    <t xml:space="preserve">1y 9m 22d </t>
  </si>
  <si>
    <t>Transfer from 598 Night Shift</t>
  </si>
  <si>
    <t>Kanchana KONG</t>
  </si>
  <si>
    <t xml:space="preserve">1y 9m 1d </t>
  </si>
  <si>
    <t>Angkearoth VANG</t>
  </si>
  <si>
    <t xml:space="preserve">1y 8m 22d </t>
  </si>
  <si>
    <t>Kakada TOU</t>
  </si>
  <si>
    <t>Sreypech YOEUN</t>
  </si>
  <si>
    <t xml:space="preserve">1y 8m 11d </t>
  </si>
  <si>
    <t>Limhorng HEANG</t>
  </si>
  <si>
    <t xml:space="preserve">1y 8m 15d </t>
  </si>
  <si>
    <t>Bouyhong MAK</t>
  </si>
  <si>
    <t>Sreypich CHAN</t>
  </si>
  <si>
    <t xml:space="preserve">1y 7m 28d </t>
  </si>
  <si>
    <t>Sreyleap HENG</t>
  </si>
  <si>
    <t xml:space="preserve">1y 5m 5d </t>
  </si>
  <si>
    <t>Sovanthida TEP</t>
  </si>
  <si>
    <t>Lika PRAK</t>
  </si>
  <si>
    <t xml:space="preserve">1y 3m 21d </t>
  </si>
  <si>
    <t>Minea PAK</t>
  </si>
  <si>
    <t xml:space="preserve">1y 2m 6d </t>
  </si>
  <si>
    <t>Chata Kanhchna NARIN</t>
  </si>
  <si>
    <t xml:space="preserve">1y 0m 22d </t>
  </si>
  <si>
    <t>Srey Pin PHAT</t>
  </si>
  <si>
    <t xml:space="preserve">1y 1m 6d </t>
  </si>
  <si>
    <t>Sreybunny BUN</t>
  </si>
  <si>
    <t xml:space="preserve">1y 0m 18d </t>
  </si>
  <si>
    <t>Lim Houng TEANG</t>
  </si>
  <si>
    <t xml:space="preserve">0y 11m 29d </t>
  </si>
  <si>
    <t>Rosenika ENG</t>
  </si>
  <si>
    <t xml:space="preserve">0y 11m 18d </t>
  </si>
  <si>
    <t>Dane NY</t>
  </si>
  <si>
    <t xml:space="preserve">0y 11m 4d </t>
  </si>
  <si>
    <t>Saroeurm CHEA</t>
  </si>
  <si>
    <t xml:space="preserve">0y 8m 16d </t>
  </si>
  <si>
    <t>Monyroza MEL</t>
  </si>
  <si>
    <t xml:space="preserve">0y 7m 29d </t>
  </si>
  <si>
    <t>Chenda KEO</t>
  </si>
  <si>
    <t xml:space="preserve">1y 0m 15d </t>
  </si>
  <si>
    <t>Titsophanlida NGETH</t>
  </si>
  <si>
    <t>Sorya SEANG</t>
  </si>
  <si>
    <t xml:space="preserve">0y 8m 5d </t>
  </si>
  <si>
    <t>Chakrya SARIN</t>
  </si>
  <si>
    <t xml:space="preserve">0y 6m 22d </t>
  </si>
  <si>
    <t>Leanggech NUT</t>
  </si>
  <si>
    <t>Srey Pich HORN</t>
  </si>
  <si>
    <t>Amara BOEUN</t>
  </si>
  <si>
    <t xml:space="preserve">0y 6m 7d </t>
  </si>
  <si>
    <t>Meymey MENG</t>
  </si>
  <si>
    <t>Vuochchhy PHAI</t>
  </si>
  <si>
    <t xml:space="preserve">0y 5m 20d </t>
  </si>
  <si>
    <t>Meily HOR</t>
  </si>
  <si>
    <t>Seangpheng SOY</t>
  </si>
  <si>
    <t xml:space="preserve">0y 4m 1d </t>
  </si>
  <si>
    <t>Kimhong KONG</t>
  </si>
  <si>
    <t xml:space="preserve">0y 3m 18d </t>
  </si>
  <si>
    <t>Rina NAN</t>
  </si>
  <si>
    <t>Moneath NA</t>
  </si>
  <si>
    <t>Nika LOT</t>
  </si>
  <si>
    <t xml:space="preserve">Povrachana VONG </t>
  </si>
  <si>
    <t xml:space="preserve">0y 3m 11d </t>
  </si>
  <si>
    <t xml:space="preserve">Sreyoun KEO </t>
  </si>
  <si>
    <t xml:space="preserve">0y 3m 4d </t>
  </si>
  <si>
    <t>Thana SAY</t>
  </si>
  <si>
    <t>Sonita DY</t>
  </si>
  <si>
    <t>Kimhor CHIM</t>
  </si>
  <si>
    <t xml:space="preserve">Phary SIN </t>
  </si>
  <si>
    <t xml:space="preserve">0y 2m 21d </t>
  </si>
  <si>
    <t>Neardy TO</t>
  </si>
  <si>
    <t>Theara CHHIN</t>
  </si>
  <si>
    <t>Savry MITH</t>
  </si>
  <si>
    <t>Lihor CHEA</t>
  </si>
  <si>
    <t>Mouyleang ROEUN</t>
  </si>
  <si>
    <t>Meng Srey Leap</t>
  </si>
  <si>
    <t xml:space="preserve">0y 2m 14d </t>
  </si>
  <si>
    <t xml:space="preserve">Rothareach VONGVIRIYA </t>
  </si>
  <si>
    <t>Linda SROY</t>
  </si>
  <si>
    <t xml:space="preserve">0y 2m 7d </t>
  </si>
  <si>
    <t>Soknen NAM</t>
  </si>
  <si>
    <t xml:space="preserve">0y 2m 0d </t>
  </si>
  <si>
    <t>Phuon Sreysor</t>
  </si>
  <si>
    <t>Dalet KRAB</t>
  </si>
  <si>
    <t>Saifong HENG</t>
  </si>
  <si>
    <t>Sreypov CHEA</t>
  </si>
  <si>
    <t>Roeun Chankesei</t>
  </si>
  <si>
    <t xml:space="preserve">0y 1m 21d </t>
  </si>
  <si>
    <t xml:space="preserve">Chulnea PHAT </t>
  </si>
  <si>
    <t>Rathana THIN</t>
  </si>
  <si>
    <t>Soksomavatey SIV</t>
  </si>
  <si>
    <t>Srypous SOM</t>
  </si>
  <si>
    <t xml:space="preserve">0y 1m 7d </t>
  </si>
  <si>
    <t>Huy SAK</t>
  </si>
  <si>
    <t>Sotheary HUOV</t>
  </si>
  <si>
    <t>Thida PICH</t>
  </si>
  <si>
    <t>Porpor KANG</t>
  </si>
  <si>
    <t>Thanavi KHONG</t>
  </si>
  <si>
    <t xml:space="preserve">0y 0m 22d </t>
  </si>
  <si>
    <t>Sodariya SUY</t>
  </si>
  <si>
    <t xml:space="preserve">Rasi SOK </t>
  </si>
  <si>
    <t>Sreynich HAN</t>
  </si>
  <si>
    <t>Vanney CHHIN</t>
  </si>
  <si>
    <t>Correct</t>
  </si>
  <si>
    <t>Caller_Name</t>
  </si>
  <si>
    <t>Number of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</si>
</sst>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409]dd\-mmm\-yy;@"/>
    <numFmt numFmtId="166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2424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top"/>
    </xf>
    <xf numFmtId="0" fontId="1" fillId="4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165" fontId="4" fillId="2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13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[$-409]dd\-mmm\-yy;@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tail_filtered_18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>
        <row r="2">
          <cell r="B2" t="str">
            <v>Rina NAN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A02D7-0568-4294-AAB8-9A904A188B4D}" name="TABLE1" displayName="TABLE1" ref="A1:K141" totalsRowShown="0">
  <autoFilter ref="A1:K141" xr:uid="{C96A02D7-0568-4294-AAB8-9A904A188B4D}">
    <filterColumn colId="9">
      <filters>
        <filter val="Annchhy VIN"/>
      </filters>
    </filterColumn>
  </autoFilter>
  <tableColumns count="11">
    <tableColumn id="1" xr3:uid="{23C8D49B-E9C9-457F-917E-DD81965A1776}" name="call_id"/>
    <tableColumn id="2" xr3:uid="{1D7847D5-DC35-45F7-918A-06AB716179E2}" name="call_datetime" dataDxfId="12"/>
    <tableColumn id="3" xr3:uid="{50DF8877-81E5-4390-889E-32C67D2141DB}" name="customer_name"/>
    <tableColumn id="4" xr3:uid="{27F983CC-95A0-4DD2-8002-7F84DAA504BB}" name="customer_phone"/>
    <tableColumn id="5" xr3:uid="{1F8D9C59-82D1-4AE4-8082-6B44092C896C}" name="staff_id"/>
    <tableColumn id="6" xr3:uid="{3250CA7F-B6F7-431C-9F2A-AD203845FB90}" name="caller_name"/>
    <tableColumn id="7" xr3:uid="{EFC449E9-1060-4658-981C-ACEF4580847E}" name="call_status"/>
    <tableColumn id="8" xr3:uid="{E6D0933C-F128-4CD4-9A44-5FBA2651D510}" name="call_purpose"/>
    <tableColumn id="9" xr3:uid="{78D4944F-7559-4D2E-B906-6030D7F13CC2}" name="remark"/>
    <tableColumn id="10" xr3:uid="{CAAE949E-4E8A-464B-B1B6-FCF840FC2570}" name="Correct" dataDxfId="11">
      <calculatedColumnFormula>_xlfn.XLOOKUP(TABLE1[[#This Row],[staff_id]], Table2[Personnel Number], Table2[Name])</calculatedColumnFormula>
    </tableColumn>
    <tableColumn id="11" xr3:uid="{9DCA3FAA-3814-4D55-8413-AA0FA4771451}" name="Branch_Name" dataDxfId="10">
      <calculatedColumnFormula>_xlfn.XLOOKUP(TABLE1[[#This Row],[staff_id]], Table2[Personnel Number], Table2[Branch])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E2AC8-2223-4988-8AB0-DFEDE7DEBD3F}" name="Table2" displayName="Table2" ref="A1:J135" totalsRowShown="0">
  <autoFilter ref="A1:J135" xr:uid="{B6EE2AC8-2223-4988-8AB0-DFEDE7DEBD3F}"/>
  <tableColumns count="10">
    <tableColumn id="1" xr3:uid="{79C34741-A3F8-416A-AF35-48AE8CC8E3F0}" name="Personnel Number" dataDxfId="9"/>
    <tableColumn id="2" xr3:uid="{552C5986-9DBC-4743-A0AC-202994F19B93}" name="Name" dataDxfId="8"/>
    <tableColumn id="3" xr3:uid="{0BF44081-3C94-4BD2-B1D1-727628F4584E}" name="Entry Date" dataDxfId="7"/>
    <tableColumn id="4" xr3:uid="{54296299-1B44-4E27-B5DE-5A45B7EDE849}" name="Branch" dataDxfId="6"/>
    <tableColumn id="5" xr3:uid="{04ECA84B-0AB2-4023-847E-E96371B8E964}" name="Shift" dataDxfId="5"/>
    <tableColumn id="6" xr3:uid="{6DD23638-A12A-4036-94CB-1FBC6CFB1375}" name="Employee Status" dataDxfId="4"/>
    <tableColumn id="7" xr3:uid="{89191B29-7CC3-4988-B437-34F2A6C4E6D5}" name="Team" dataDxfId="3"/>
    <tableColumn id="8" xr3:uid="{C76B439F-FF92-4EDD-AB44-5E1827569850}" name="Length" dataDxfId="2"/>
    <tableColumn id="9" xr3:uid="{CE8E768F-82FA-4479-9CB5-194CCD9B3F23}" name="Remark" dataDxfId="1"/>
    <tableColumn id="10" xr3:uid="{D7F6BA59-8CC9-4675-BCC2-F2F83E1097AE}" name="Effective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zoomScale="130" zoomScaleNormal="130" workbookViewId="0">
      <selection activeCell="B156" sqref="B156"/>
    </sheetView>
  </sheetViews>
  <sheetFormatPr defaultRowHeight="14.5" x14ac:dyDescent="0.35"/>
  <cols>
    <col min="2" max="2" width="18.453125" bestFit="1" customWidth="1"/>
    <col min="3" max="3" width="16.453125" customWidth="1"/>
    <col min="4" max="4" width="17.08984375" customWidth="1"/>
    <col min="5" max="5" width="9.1796875" customWidth="1"/>
    <col min="6" max="6" width="13" customWidth="1"/>
    <col min="7" max="7" width="11.7265625" customWidth="1"/>
    <col min="8" max="8" width="13.453125" customWidth="1"/>
    <col min="9" max="9" width="8.90625" customWidth="1"/>
    <col min="11" max="11" width="1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505</v>
      </c>
      <c r="K1" t="s">
        <v>243</v>
      </c>
    </row>
    <row r="2" spans="1:11" x14ac:dyDescent="0.35">
      <c r="A2">
        <v>1405178403</v>
      </c>
      <c r="B2" s="1">
        <v>46157.426446759258</v>
      </c>
      <c r="C2" t="s">
        <v>9</v>
      </c>
      <c r="D2">
        <v>888458459</v>
      </c>
      <c r="E2">
        <v>90011727</v>
      </c>
      <c r="F2" t="s">
        <v>10</v>
      </c>
      <c r="G2" t="s">
        <v>11</v>
      </c>
      <c r="H2" t="s">
        <v>12</v>
      </c>
      <c r="I2" t="s">
        <v>13</v>
      </c>
      <c r="J2" t="str">
        <f>_xlfn.XLOOKUP(TABLE1[[#This Row],[staff_id]], Table2[Personnel Number], Table2[Name])</f>
        <v>Annchhy VIN</v>
      </c>
      <c r="K2" t="str">
        <f>_xlfn.XLOOKUP(TABLE1[[#This Row],[staff_id]], Table2[Personnel Number], Table2[Branch])</f>
        <v>Battambang</v>
      </c>
    </row>
    <row r="3" spans="1:11" x14ac:dyDescent="0.35">
      <c r="A3">
        <v>2242453624</v>
      </c>
      <c r="B3" s="1">
        <v>46157.432430555556</v>
      </c>
      <c r="C3" t="s">
        <v>14</v>
      </c>
      <c r="D3">
        <v>11296960</v>
      </c>
      <c r="E3">
        <v>90011727</v>
      </c>
      <c r="F3" t="s">
        <v>10</v>
      </c>
      <c r="G3" t="s">
        <v>11</v>
      </c>
      <c r="H3" t="s">
        <v>12</v>
      </c>
      <c r="I3" t="s">
        <v>15</v>
      </c>
      <c r="J3" t="str">
        <f>_xlfn.XLOOKUP(TABLE1[[#This Row],[staff_id]], Table2[Personnel Number], Table2[Name])</f>
        <v>Annchhy VIN</v>
      </c>
      <c r="K3" t="str">
        <f>_xlfn.XLOOKUP(TABLE1[[#This Row],[staff_id]], Table2[Personnel Number], Table2[Branch])</f>
        <v>Battambang</v>
      </c>
    </row>
    <row r="4" spans="1:11" hidden="1" x14ac:dyDescent="0.35">
      <c r="A4">
        <v>4938483497</v>
      </c>
      <c r="B4" s="1">
        <v>46157.45113425926</v>
      </c>
      <c r="C4" t="s">
        <v>16</v>
      </c>
      <c r="D4">
        <v>12265600</v>
      </c>
      <c r="E4">
        <v>90013878</v>
      </c>
      <c r="F4" t="s">
        <v>17</v>
      </c>
      <c r="G4" t="s">
        <v>11</v>
      </c>
      <c r="H4" t="s">
        <v>18</v>
      </c>
      <c r="I4" t="s">
        <v>19</v>
      </c>
      <c r="J4" t="str">
        <f>_xlfn.XLOOKUP(TABLE1[[#This Row],[staff_id]], Table2[Personnel Number], Table2[Name])</f>
        <v>Vuchnay SOK</v>
      </c>
      <c r="K4" t="str">
        <f>_xlfn.XLOOKUP(TABLE1[[#This Row],[staff_id]], Table2[Personnel Number], Table2[Branch])</f>
        <v>Noromall</v>
      </c>
    </row>
    <row r="5" spans="1:11" hidden="1" x14ac:dyDescent="0.35">
      <c r="A5">
        <v>639518347</v>
      </c>
      <c r="B5" s="1">
        <v>46157.462951388887</v>
      </c>
      <c r="C5" t="s">
        <v>20</v>
      </c>
      <c r="D5">
        <v>17354208</v>
      </c>
      <c r="E5">
        <v>90024586</v>
      </c>
      <c r="F5" t="s">
        <v>21</v>
      </c>
      <c r="G5" t="s">
        <v>11</v>
      </c>
      <c r="H5" t="s">
        <v>18</v>
      </c>
      <c r="I5" t="s">
        <v>22</v>
      </c>
      <c r="J5" t="str">
        <f>_xlfn.XLOOKUP(TABLE1[[#This Row],[staff_id]], Table2[Personnel Number], Table2[Name])</f>
        <v>Moneath NA</v>
      </c>
      <c r="K5" t="str">
        <f>_xlfn.XLOOKUP(TABLE1[[#This Row],[staff_id]], Table2[Personnel Number], Table2[Branch])</f>
        <v>Phsar DermThkov</v>
      </c>
    </row>
    <row r="6" spans="1:11" hidden="1" x14ac:dyDescent="0.35">
      <c r="A6">
        <v>715168230</v>
      </c>
      <c r="B6" s="1">
        <v>46157.463368055563</v>
      </c>
      <c r="C6" t="s">
        <v>23</v>
      </c>
      <c r="D6">
        <v>963780025</v>
      </c>
      <c r="E6">
        <v>90024876</v>
      </c>
      <c r="F6">
        <v>90024876</v>
      </c>
      <c r="G6" t="s">
        <v>11</v>
      </c>
      <c r="H6" t="s">
        <v>18</v>
      </c>
      <c r="I6" t="s">
        <v>24</v>
      </c>
      <c r="J6" t="str">
        <f>_xlfn.XLOOKUP(TABLE1[[#This Row],[staff_id]], Table2[Personnel Number], Table2[Name])</f>
        <v xml:space="preserve">Phary SIN </v>
      </c>
      <c r="K6" t="str">
        <f>_xlfn.XLOOKUP(TABLE1[[#This Row],[staff_id]], Table2[Personnel Number], Table2[Branch])</f>
        <v>Noromall</v>
      </c>
    </row>
    <row r="7" spans="1:11" hidden="1" x14ac:dyDescent="0.35">
      <c r="A7">
        <v>751651885</v>
      </c>
      <c r="B7" s="1">
        <v>46157.463784722233</v>
      </c>
      <c r="C7" t="s">
        <v>25</v>
      </c>
      <c r="D7">
        <v>98437887</v>
      </c>
      <c r="E7">
        <v>90024586</v>
      </c>
      <c r="F7" t="s">
        <v>21</v>
      </c>
      <c r="G7" t="s">
        <v>11</v>
      </c>
      <c r="H7" t="s">
        <v>18</v>
      </c>
      <c r="I7" t="s">
        <v>22</v>
      </c>
      <c r="J7" t="str">
        <f>_xlfn.XLOOKUP(TABLE1[[#This Row],[staff_id]], Table2[Personnel Number], Table2[Name])</f>
        <v>Moneath NA</v>
      </c>
      <c r="K7" t="str">
        <f>_xlfn.XLOOKUP(TABLE1[[#This Row],[staff_id]], Table2[Personnel Number], Table2[Branch])</f>
        <v>Phsar DermThkov</v>
      </c>
    </row>
    <row r="8" spans="1:11" hidden="1" x14ac:dyDescent="0.35">
      <c r="A8">
        <v>825891980</v>
      </c>
      <c r="B8" s="1">
        <v>46157.464178240742</v>
      </c>
      <c r="C8" t="s">
        <v>26</v>
      </c>
      <c r="D8">
        <v>967213010</v>
      </c>
      <c r="E8">
        <v>90024586</v>
      </c>
      <c r="F8" t="s">
        <v>21</v>
      </c>
      <c r="G8" t="s">
        <v>11</v>
      </c>
      <c r="H8" t="s">
        <v>18</v>
      </c>
      <c r="I8" t="s">
        <v>22</v>
      </c>
      <c r="J8" t="str">
        <f>_xlfn.XLOOKUP(TABLE1[[#This Row],[staff_id]], Table2[Personnel Number], Table2[Name])</f>
        <v>Moneath NA</v>
      </c>
      <c r="K8" t="str">
        <f>_xlfn.XLOOKUP(TABLE1[[#This Row],[staff_id]], Table2[Personnel Number], Table2[Branch])</f>
        <v>Phsar DermThkov</v>
      </c>
    </row>
    <row r="9" spans="1:11" hidden="1" x14ac:dyDescent="0.35">
      <c r="A9">
        <v>903038931</v>
      </c>
      <c r="B9" s="1">
        <v>46157.464618055557</v>
      </c>
      <c r="C9" t="s">
        <v>27</v>
      </c>
      <c r="D9">
        <v>973669097</v>
      </c>
      <c r="E9">
        <v>90024586</v>
      </c>
      <c r="F9" t="s">
        <v>21</v>
      </c>
      <c r="G9" t="s">
        <v>11</v>
      </c>
      <c r="H9" t="s">
        <v>18</v>
      </c>
      <c r="I9" t="s">
        <v>22</v>
      </c>
      <c r="J9" t="str">
        <f>_xlfn.XLOOKUP(TABLE1[[#This Row],[staff_id]], Table2[Personnel Number], Table2[Name])</f>
        <v>Moneath NA</v>
      </c>
      <c r="K9" t="str">
        <f>_xlfn.XLOOKUP(TABLE1[[#This Row],[staff_id]], Table2[Personnel Number], Table2[Branch])</f>
        <v>Phsar DermThkov</v>
      </c>
    </row>
    <row r="10" spans="1:11" hidden="1" x14ac:dyDescent="0.35">
      <c r="A10">
        <v>936706981</v>
      </c>
      <c r="B10" s="1">
        <v>46157.464999999997</v>
      </c>
      <c r="C10" t="s">
        <v>28</v>
      </c>
      <c r="D10">
        <v>886207023</v>
      </c>
      <c r="E10">
        <v>90024586</v>
      </c>
      <c r="F10" t="s">
        <v>21</v>
      </c>
      <c r="G10" t="s">
        <v>11</v>
      </c>
      <c r="H10" t="s">
        <v>18</v>
      </c>
      <c r="I10" t="s">
        <v>29</v>
      </c>
      <c r="J10" t="str">
        <f>_xlfn.XLOOKUP(TABLE1[[#This Row],[staff_id]], Table2[Personnel Number], Table2[Name])</f>
        <v>Moneath NA</v>
      </c>
      <c r="K10" t="str">
        <f>_xlfn.XLOOKUP(TABLE1[[#This Row],[staff_id]], Table2[Personnel Number], Table2[Branch])</f>
        <v>Phsar DermThkov</v>
      </c>
    </row>
    <row r="11" spans="1:11" hidden="1" x14ac:dyDescent="0.35">
      <c r="A11">
        <v>1017824489</v>
      </c>
      <c r="B11" s="1">
        <v>46157.465474537043</v>
      </c>
      <c r="C11" t="s">
        <v>30</v>
      </c>
      <c r="D11">
        <v>966748552</v>
      </c>
      <c r="E11">
        <v>90024687</v>
      </c>
      <c r="F11">
        <v>90024687</v>
      </c>
      <c r="G11" t="s">
        <v>11</v>
      </c>
      <c r="H11" t="s">
        <v>18</v>
      </c>
      <c r="I11" t="s">
        <v>31</v>
      </c>
      <c r="J11" t="str">
        <f>_xlfn.XLOOKUP(TABLE1[[#This Row],[staff_id]], Table2[Personnel Number], Table2[Name])</f>
        <v xml:space="preserve">Povrachana VONG </v>
      </c>
      <c r="K11" t="str">
        <f>_xlfn.XLOOKUP(TABLE1[[#This Row],[staff_id]], Table2[Personnel Number], Table2[Branch])</f>
        <v>Chip Mong Tower</v>
      </c>
    </row>
    <row r="12" spans="1:11" hidden="1" x14ac:dyDescent="0.35">
      <c r="A12">
        <v>1021272702</v>
      </c>
      <c r="B12" s="1">
        <v>46157.465520833342</v>
      </c>
      <c r="C12" t="s">
        <v>32</v>
      </c>
      <c r="D12">
        <v>886901869</v>
      </c>
      <c r="E12">
        <v>90024876</v>
      </c>
      <c r="F12">
        <v>90024876</v>
      </c>
      <c r="G12" t="s">
        <v>11</v>
      </c>
      <c r="H12" t="s">
        <v>18</v>
      </c>
      <c r="I12" t="s">
        <v>33</v>
      </c>
      <c r="J12" t="str">
        <f>_xlfn.XLOOKUP(TABLE1[[#This Row],[staff_id]], Table2[Personnel Number], Table2[Name])</f>
        <v xml:space="preserve">Phary SIN </v>
      </c>
      <c r="K12" t="str">
        <f>_xlfn.XLOOKUP(TABLE1[[#This Row],[staff_id]], Table2[Personnel Number], Table2[Branch])</f>
        <v>Noromall</v>
      </c>
    </row>
    <row r="13" spans="1:11" hidden="1" x14ac:dyDescent="0.35">
      <c r="A13">
        <v>1030767817</v>
      </c>
      <c r="B13" s="1">
        <v>46157.465624999997</v>
      </c>
      <c r="C13" t="s">
        <v>34</v>
      </c>
      <c r="D13">
        <v>81687815</v>
      </c>
      <c r="E13">
        <v>90024586</v>
      </c>
      <c r="F13" t="s">
        <v>21</v>
      </c>
      <c r="G13" t="s">
        <v>11</v>
      </c>
      <c r="H13" t="s">
        <v>18</v>
      </c>
      <c r="I13" t="s">
        <v>22</v>
      </c>
      <c r="J13" t="str">
        <f>_xlfn.XLOOKUP(TABLE1[[#This Row],[staff_id]], Table2[Personnel Number], Table2[Name])</f>
        <v>Moneath NA</v>
      </c>
      <c r="K13" t="str">
        <f>_xlfn.XLOOKUP(TABLE1[[#This Row],[staff_id]], Table2[Personnel Number], Table2[Branch])</f>
        <v>Phsar DermThkov</v>
      </c>
    </row>
    <row r="14" spans="1:11" hidden="1" x14ac:dyDescent="0.35">
      <c r="A14">
        <v>1115930927</v>
      </c>
      <c r="B14" s="1">
        <v>46157.466145833343</v>
      </c>
      <c r="C14" t="s">
        <v>35</v>
      </c>
      <c r="D14">
        <v>969822296</v>
      </c>
      <c r="E14">
        <v>90024586</v>
      </c>
      <c r="F14" t="s">
        <v>21</v>
      </c>
      <c r="G14" t="s">
        <v>11</v>
      </c>
      <c r="H14" t="s">
        <v>18</v>
      </c>
      <c r="I14" t="s">
        <v>29</v>
      </c>
      <c r="J14" t="str">
        <f>_xlfn.XLOOKUP(TABLE1[[#This Row],[staff_id]], Table2[Personnel Number], Table2[Name])</f>
        <v>Moneath NA</v>
      </c>
      <c r="K14" t="str">
        <f>_xlfn.XLOOKUP(TABLE1[[#This Row],[staff_id]], Table2[Personnel Number], Table2[Branch])</f>
        <v>Phsar DermThkov</v>
      </c>
    </row>
    <row r="15" spans="1:11" hidden="1" x14ac:dyDescent="0.35">
      <c r="A15">
        <v>1157197411</v>
      </c>
      <c r="B15" s="1">
        <v>46157.466631944437</v>
      </c>
      <c r="C15" t="s">
        <v>36</v>
      </c>
      <c r="D15">
        <v>78699788</v>
      </c>
      <c r="E15">
        <v>90024586</v>
      </c>
      <c r="F15" t="s">
        <v>21</v>
      </c>
      <c r="G15" t="s">
        <v>11</v>
      </c>
      <c r="H15" t="s">
        <v>18</v>
      </c>
      <c r="I15" t="s">
        <v>22</v>
      </c>
      <c r="J15" t="str">
        <f>_xlfn.XLOOKUP(TABLE1[[#This Row],[staff_id]], Table2[Personnel Number], Table2[Name])</f>
        <v>Moneath NA</v>
      </c>
      <c r="K15" t="str">
        <f>_xlfn.XLOOKUP(TABLE1[[#This Row],[staff_id]], Table2[Personnel Number], Table2[Branch])</f>
        <v>Phsar DermThkov</v>
      </c>
    </row>
    <row r="16" spans="1:11" hidden="1" x14ac:dyDescent="0.35">
      <c r="A16">
        <v>1226810853</v>
      </c>
      <c r="B16" s="1">
        <v>46157.466967592591</v>
      </c>
      <c r="C16" t="s">
        <v>37</v>
      </c>
      <c r="D16">
        <v>86918929</v>
      </c>
      <c r="E16">
        <v>90021848</v>
      </c>
      <c r="F16" t="s">
        <v>38</v>
      </c>
      <c r="G16" t="s">
        <v>11</v>
      </c>
      <c r="H16" t="s">
        <v>18</v>
      </c>
      <c r="I16" t="s">
        <v>39</v>
      </c>
      <c r="J16" t="str">
        <f>_xlfn.XLOOKUP(TABLE1[[#This Row],[staff_id]], Table2[Personnel Number], Table2[Name])</f>
        <v>Lim Houng TEANG</v>
      </c>
      <c r="K16" t="str">
        <f>_xlfn.XLOOKUP(TABLE1[[#This Row],[staff_id]], Table2[Personnel Number], Table2[Branch])</f>
        <v>Noromall</v>
      </c>
    </row>
    <row r="17" spans="1:11" hidden="1" x14ac:dyDescent="0.35">
      <c r="A17">
        <v>1229060256</v>
      </c>
      <c r="B17" s="1">
        <v>46157.467002314806</v>
      </c>
      <c r="C17" t="s">
        <v>40</v>
      </c>
      <c r="D17">
        <v>12627475</v>
      </c>
      <c r="E17">
        <v>90024586</v>
      </c>
      <c r="F17" t="s">
        <v>21</v>
      </c>
      <c r="G17" t="s">
        <v>11</v>
      </c>
      <c r="H17" t="s">
        <v>18</v>
      </c>
      <c r="I17" t="s">
        <v>29</v>
      </c>
      <c r="J17" t="str">
        <f>_xlfn.XLOOKUP(TABLE1[[#This Row],[staff_id]], Table2[Personnel Number], Table2[Name])</f>
        <v>Moneath NA</v>
      </c>
      <c r="K17" t="str">
        <f>_xlfn.XLOOKUP(TABLE1[[#This Row],[staff_id]], Table2[Personnel Number], Table2[Branch])</f>
        <v>Phsar DermThkov</v>
      </c>
    </row>
    <row r="18" spans="1:11" hidden="1" x14ac:dyDescent="0.35">
      <c r="A18">
        <v>1643294510</v>
      </c>
      <c r="B18" s="1">
        <v>46157.469942129632</v>
      </c>
      <c r="C18" t="s">
        <v>41</v>
      </c>
      <c r="D18">
        <v>16979929</v>
      </c>
      <c r="E18">
        <v>90024779</v>
      </c>
      <c r="F18">
        <v>90024779</v>
      </c>
      <c r="G18" t="s">
        <v>11</v>
      </c>
      <c r="H18" t="s">
        <v>12</v>
      </c>
      <c r="I18" t="s">
        <v>42</v>
      </c>
      <c r="J18" t="str">
        <f>_xlfn.XLOOKUP(TABLE1[[#This Row],[staff_id]], Table2[Personnel Number], Table2[Name])</f>
        <v>Kimhor CHIM</v>
      </c>
      <c r="K18" t="str">
        <f>_xlfn.XLOOKUP(TABLE1[[#This Row],[staff_id]], Table2[Personnel Number], Table2[Branch])</f>
        <v>Preah Norodom</v>
      </c>
    </row>
    <row r="19" spans="1:11" hidden="1" x14ac:dyDescent="0.35">
      <c r="A19">
        <v>1716135931</v>
      </c>
      <c r="B19" s="1">
        <v>46157.470324074071</v>
      </c>
      <c r="C19" t="s">
        <v>43</v>
      </c>
      <c r="D19">
        <v>979193133</v>
      </c>
      <c r="E19">
        <v>90021848</v>
      </c>
      <c r="F19" t="s">
        <v>38</v>
      </c>
      <c r="G19" t="s">
        <v>11</v>
      </c>
      <c r="H19" t="s">
        <v>18</v>
      </c>
      <c r="I19" t="s">
        <v>39</v>
      </c>
      <c r="J19" t="str">
        <f>_xlfn.XLOOKUP(TABLE1[[#This Row],[staff_id]], Table2[Personnel Number], Table2[Name])</f>
        <v>Lim Houng TEANG</v>
      </c>
      <c r="K19" t="str">
        <f>_xlfn.XLOOKUP(TABLE1[[#This Row],[staff_id]], Table2[Personnel Number], Table2[Branch])</f>
        <v>Noromall</v>
      </c>
    </row>
    <row r="20" spans="1:11" hidden="1" x14ac:dyDescent="0.35">
      <c r="A20">
        <v>1749468436</v>
      </c>
      <c r="B20" s="1">
        <v>46157.470706018517</v>
      </c>
      <c r="C20" t="s">
        <v>44</v>
      </c>
      <c r="D20">
        <v>92715157</v>
      </c>
      <c r="E20">
        <v>90024779</v>
      </c>
      <c r="F20">
        <v>90024779</v>
      </c>
      <c r="G20" t="s">
        <v>11</v>
      </c>
      <c r="H20" t="s">
        <v>12</v>
      </c>
      <c r="I20" t="s">
        <v>45</v>
      </c>
      <c r="J20" t="str">
        <f>_xlfn.XLOOKUP(TABLE1[[#This Row],[staff_id]], Table2[Personnel Number], Table2[Name])</f>
        <v>Kimhor CHIM</v>
      </c>
      <c r="K20" t="str">
        <f>_xlfn.XLOOKUP(TABLE1[[#This Row],[staff_id]], Table2[Personnel Number], Table2[Branch])</f>
        <v>Preah Norodom</v>
      </c>
    </row>
    <row r="21" spans="1:11" hidden="1" x14ac:dyDescent="0.35">
      <c r="A21">
        <v>1853486660</v>
      </c>
      <c r="B21" s="1">
        <v>46157.471446759257</v>
      </c>
      <c r="C21" t="s">
        <v>46</v>
      </c>
      <c r="D21">
        <v>16713081</v>
      </c>
      <c r="E21">
        <v>90024779</v>
      </c>
      <c r="F21">
        <v>90024779</v>
      </c>
      <c r="G21" t="s">
        <v>11</v>
      </c>
      <c r="H21" t="s">
        <v>12</v>
      </c>
      <c r="I21" t="s">
        <v>47</v>
      </c>
      <c r="J21" t="str">
        <f>_xlfn.XLOOKUP(TABLE1[[#This Row],[staff_id]], Table2[Personnel Number], Table2[Name])</f>
        <v>Kimhor CHIM</v>
      </c>
      <c r="K21" t="str">
        <f>_xlfn.XLOOKUP(TABLE1[[#This Row],[staff_id]], Table2[Personnel Number], Table2[Branch])</f>
        <v>Preah Norodom</v>
      </c>
    </row>
    <row r="22" spans="1:11" hidden="1" x14ac:dyDescent="0.35">
      <c r="A22">
        <v>1948462183</v>
      </c>
      <c r="B22" s="1">
        <v>46157.472083333327</v>
      </c>
      <c r="C22" t="s">
        <v>48</v>
      </c>
      <c r="D22">
        <v>85764676</v>
      </c>
      <c r="E22">
        <v>90024779</v>
      </c>
      <c r="F22">
        <v>90024779</v>
      </c>
      <c r="G22" t="s">
        <v>11</v>
      </c>
      <c r="H22" t="s">
        <v>12</v>
      </c>
      <c r="I22" t="s">
        <v>45</v>
      </c>
      <c r="J22" t="str">
        <f>_xlfn.XLOOKUP(TABLE1[[#This Row],[staff_id]], Table2[Personnel Number], Table2[Name])</f>
        <v>Kimhor CHIM</v>
      </c>
      <c r="K22" t="str">
        <f>_xlfn.XLOOKUP(TABLE1[[#This Row],[staff_id]], Table2[Personnel Number], Table2[Branch])</f>
        <v>Preah Norodom</v>
      </c>
    </row>
    <row r="23" spans="1:11" hidden="1" x14ac:dyDescent="0.35">
      <c r="A23">
        <v>2054760532</v>
      </c>
      <c r="B23" s="1">
        <v>46157.47284722222</v>
      </c>
      <c r="C23" t="s">
        <v>49</v>
      </c>
      <c r="D23">
        <v>714331353</v>
      </c>
      <c r="E23">
        <v>90024779</v>
      </c>
      <c r="F23">
        <v>90024779</v>
      </c>
      <c r="G23" t="s">
        <v>50</v>
      </c>
      <c r="H23" t="s">
        <v>12</v>
      </c>
      <c r="I23" t="s">
        <v>51</v>
      </c>
      <c r="J23" t="str">
        <f>_xlfn.XLOOKUP(TABLE1[[#This Row],[staff_id]], Table2[Personnel Number], Table2[Name])</f>
        <v>Kimhor CHIM</v>
      </c>
      <c r="K23" t="str">
        <f>_xlfn.XLOOKUP(TABLE1[[#This Row],[staff_id]], Table2[Personnel Number], Table2[Branch])</f>
        <v>Preah Norodom</v>
      </c>
    </row>
    <row r="24" spans="1:11" hidden="1" x14ac:dyDescent="0.35">
      <c r="A24">
        <v>2119180229</v>
      </c>
      <c r="B24" s="1">
        <v>46157.473136574074</v>
      </c>
      <c r="C24" t="s">
        <v>52</v>
      </c>
      <c r="D24">
        <v>12353465</v>
      </c>
      <c r="E24">
        <v>90021848</v>
      </c>
      <c r="F24" t="s">
        <v>38</v>
      </c>
      <c r="G24" t="s">
        <v>50</v>
      </c>
      <c r="H24" t="s">
        <v>18</v>
      </c>
      <c r="I24" t="s">
        <v>53</v>
      </c>
      <c r="J24" t="str">
        <f>_xlfn.XLOOKUP(TABLE1[[#This Row],[staff_id]], Table2[Personnel Number], Table2[Name])</f>
        <v>Lim Houng TEANG</v>
      </c>
      <c r="K24" t="str">
        <f>_xlfn.XLOOKUP(TABLE1[[#This Row],[staff_id]], Table2[Personnel Number], Table2[Branch])</f>
        <v>Noromall</v>
      </c>
    </row>
    <row r="25" spans="1:11" hidden="1" x14ac:dyDescent="0.35">
      <c r="A25">
        <v>2530605800</v>
      </c>
      <c r="B25" s="1">
        <v>46157.476041666669</v>
      </c>
      <c r="C25" t="s">
        <v>54</v>
      </c>
      <c r="D25">
        <v>964669324</v>
      </c>
      <c r="E25">
        <v>90021848</v>
      </c>
      <c r="F25" t="s">
        <v>38</v>
      </c>
      <c r="G25" t="s">
        <v>55</v>
      </c>
      <c r="H25" t="s">
        <v>18</v>
      </c>
      <c r="I25" t="s">
        <v>53</v>
      </c>
      <c r="J25" t="str">
        <f>_xlfn.XLOOKUP(TABLE1[[#This Row],[staff_id]], Table2[Personnel Number], Table2[Name])</f>
        <v>Lim Houng TEANG</v>
      </c>
      <c r="K25" t="str">
        <f>_xlfn.XLOOKUP(TABLE1[[#This Row],[staff_id]], Table2[Personnel Number], Table2[Branch])</f>
        <v>Noromall</v>
      </c>
    </row>
    <row r="26" spans="1:11" hidden="1" x14ac:dyDescent="0.35">
      <c r="A26">
        <v>3243938241</v>
      </c>
      <c r="B26" s="1">
        <v>46157.481053240743</v>
      </c>
      <c r="C26" t="s">
        <v>56</v>
      </c>
      <c r="D26">
        <v>962279898</v>
      </c>
      <c r="E26">
        <v>90021848</v>
      </c>
      <c r="F26" t="s">
        <v>38</v>
      </c>
      <c r="G26" t="s">
        <v>11</v>
      </c>
      <c r="H26" t="s">
        <v>18</v>
      </c>
      <c r="I26" t="s">
        <v>57</v>
      </c>
      <c r="J26" t="str">
        <f>_xlfn.XLOOKUP(TABLE1[[#This Row],[staff_id]], Table2[Personnel Number], Table2[Name])</f>
        <v>Lim Houng TEANG</v>
      </c>
      <c r="K26" t="str">
        <f>_xlfn.XLOOKUP(TABLE1[[#This Row],[staff_id]], Table2[Personnel Number], Table2[Branch])</f>
        <v>Noromall</v>
      </c>
    </row>
    <row r="27" spans="1:11" hidden="1" x14ac:dyDescent="0.35">
      <c r="A27">
        <v>3702428365</v>
      </c>
      <c r="B27" s="1">
        <v>46157.484050925923</v>
      </c>
      <c r="C27" t="s">
        <v>58</v>
      </c>
      <c r="D27">
        <v>69841093</v>
      </c>
      <c r="E27">
        <v>90021848</v>
      </c>
      <c r="F27" t="s">
        <v>38</v>
      </c>
      <c r="G27" t="s">
        <v>11</v>
      </c>
      <c r="H27" t="s">
        <v>18</v>
      </c>
      <c r="I27" t="s">
        <v>57</v>
      </c>
      <c r="J27" t="str">
        <f>_xlfn.XLOOKUP(TABLE1[[#This Row],[staff_id]], Table2[Personnel Number], Table2[Name])</f>
        <v>Lim Houng TEANG</v>
      </c>
      <c r="K27" t="str">
        <f>_xlfn.XLOOKUP(TABLE1[[#This Row],[staff_id]], Table2[Personnel Number], Table2[Branch])</f>
        <v>Noromall</v>
      </c>
    </row>
    <row r="28" spans="1:11" hidden="1" x14ac:dyDescent="0.35">
      <c r="A28">
        <v>5419438140</v>
      </c>
      <c r="B28" s="1">
        <v>46157.496053240742</v>
      </c>
      <c r="C28" t="s">
        <v>59</v>
      </c>
      <c r="D28">
        <v>69707067</v>
      </c>
      <c r="E28">
        <v>90021848</v>
      </c>
      <c r="F28" t="s">
        <v>38</v>
      </c>
      <c r="G28" t="s">
        <v>55</v>
      </c>
      <c r="H28" t="s">
        <v>18</v>
      </c>
      <c r="I28" t="s">
        <v>57</v>
      </c>
      <c r="J28" t="str">
        <f>_xlfn.XLOOKUP(TABLE1[[#This Row],[staff_id]], Table2[Personnel Number], Table2[Name])</f>
        <v>Lim Houng TEANG</v>
      </c>
      <c r="K28" t="str">
        <f>_xlfn.XLOOKUP(TABLE1[[#This Row],[staff_id]], Table2[Personnel Number], Table2[Branch])</f>
        <v>Noromall</v>
      </c>
    </row>
    <row r="29" spans="1:11" hidden="1" x14ac:dyDescent="0.35">
      <c r="A29">
        <v>2337415780</v>
      </c>
      <c r="B29" s="1">
        <v>46157.516400462962</v>
      </c>
      <c r="C29" t="s">
        <v>60</v>
      </c>
      <c r="D29">
        <v>98302085</v>
      </c>
      <c r="E29">
        <v>90024908</v>
      </c>
      <c r="F29">
        <v>90024908</v>
      </c>
      <c r="G29" t="s">
        <v>11</v>
      </c>
      <c r="H29" t="s">
        <v>12</v>
      </c>
      <c r="I29" t="s">
        <v>61</v>
      </c>
      <c r="J29" t="str">
        <f>_xlfn.XLOOKUP(TABLE1[[#This Row],[staff_id]], Table2[Personnel Number], Table2[Name])</f>
        <v>Mouyleang ROEUN</v>
      </c>
      <c r="K29" t="str">
        <f>_xlfn.XLOOKUP(TABLE1[[#This Row],[staff_id]], Table2[Personnel Number], Table2[Branch])</f>
        <v>Noromall</v>
      </c>
    </row>
    <row r="30" spans="1:11" hidden="1" x14ac:dyDescent="0.35">
      <c r="A30">
        <v>2428210351</v>
      </c>
      <c r="B30" s="1">
        <v>46157.51699074074</v>
      </c>
      <c r="C30" t="s">
        <v>62</v>
      </c>
      <c r="D30">
        <v>61979699</v>
      </c>
      <c r="E30">
        <v>90024908</v>
      </c>
      <c r="F30">
        <v>90024908</v>
      </c>
      <c r="G30" t="s">
        <v>11</v>
      </c>
      <c r="H30" t="s">
        <v>12</v>
      </c>
      <c r="I30" t="s">
        <v>61</v>
      </c>
      <c r="J30" t="str">
        <f>_xlfn.XLOOKUP(TABLE1[[#This Row],[staff_id]], Table2[Personnel Number], Table2[Name])</f>
        <v>Mouyleang ROEUN</v>
      </c>
      <c r="K30" t="str">
        <f>_xlfn.XLOOKUP(TABLE1[[#This Row],[staff_id]], Table2[Personnel Number], Table2[Branch])</f>
        <v>Noromall</v>
      </c>
    </row>
    <row r="31" spans="1:11" hidden="1" x14ac:dyDescent="0.35">
      <c r="A31">
        <v>2554161141</v>
      </c>
      <c r="B31" s="1">
        <v>46157.51798611111</v>
      </c>
      <c r="C31" t="s">
        <v>63</v>
      </c>
      <c r="D31">
        <v>93331122</v>
      </c>
      <c r="E31">
        <v>90024908</v>
      </c>
      <c r="F31">
        <v>90024908</v>
      </c>
      <c r="G31" t="s">
        <v>11</v>
      </c>
      <c r="H31" t="s">
        <v>12</v>
      </c>
      <c r="I31" t="s">
        <v>64</v>
      </c>
      <c r="J31" t="str">
        <f>_xlfn.XLOOKUP(TABLE1[[#This Row],[staff_id]], Table2[Personnel Number], Table2[Name])</f>
        <v>Mouyleang ROEUN</v>
      </c>
      <c r="K31" t="str">
        <f>_xlfn.XLOOKUP(TABLE1[[#This Row],[staff_id]], Table2[Personnel Number], Table2[Branch])</f>
        <v>Noromall</v>
      </c>
    </row>
    <row r="32" spans="1:11" hidden="1" x14ac:dyDescent="0.35">
      <c r="A32">
        <v>3305021608</v>
      </c>
      <c r="B32" s="1">
        <v>46157.522974537038</v>
      </c>
      <c r="C32" t="s">
        <v>65</v>
      </c>
      <c r="D32">
        <v>16424542</v>
      </c>
      <c r="E32">
        <v>90011721</v>
      </c>
      <c r="F32" t="s">
        <v>66</v>
      </c>
      <c r="G32" t="s">
        <v>11</v>
      </c>
      <c r="H32" t="s">
        <v>67</v>
      </c>
      <c r="I32" t="s">
        <v>68</v>
      </c>
      <c r="J32" t="str">
        <f>_xlfn.XLOOKUP(TABLE1[[#This Row],[staff_id]], Table2[Personnel Number], Table2[Name])</f>
        <v>Leakhena OU</v>
      </c>
      <c r="K32" t="str">
        <f>_xlfn.XLOOKUP(TABLE1[[#This Row],[staff_id]], Table2[Personnel Number], Table2[Branch])</f>
        <v>Battambang</v>
      </c>
    </row>
    <row r="33" spans="1:11" x14ac:dyDescent="0.35">
      <c r="A33">
        <v>3331169138</v>
      </c>
      <c r="B33" s="1">
        <v>46157.523275462961</v>
      </c>
      <c r="C33" t="s">
        <v>69</v>
      </c>
      <c r="D33">
        <v>69228708</v>
      </c>
      <c r="E33">
        <v>90011727</v>
      </c>
      <c r="F33" t="s">
        <v>10</v>
      </c>
      <c r="G33" t="s">
        <v>11</v>
      </c>
      <c r="H33" t="s">
        <v>18</v>
      </c>
      <c r="I33" t="s">
        <v>70</v>
      </c>
      <c r="J33" t="str">
        <f>_xlfn.XLOOKUP(TABLE1[[#This Row],[staff_id]], Table2[Personnel Number], Table2[Name])</f>
        <v>Annchhy VIN</v>
      </c>
      <c r="K33" t="str">
        <f>_xlfn.XLOOKUP(TABLE1[[#This Row],[staff_id]], Table2[Personnel Number], Table2[Branch])</f>
        <v>Battambang</v>
      </c>
    </row>
    <row r="34" spans="1:11" hidden="1" x14ac:dyDescent="0.35">
      <c r="A34">
        <v>3606153885</v>
      </c>
      <c r="B34" s="1">
        <v>46157.525069444448</v>
      </c>
      <c r="C34" t="s">
        <v>71</v>
      </c>
      <c r="D34">
        <v>86265626</v>
      </c>
      <c r="E34">
        <v>90011721</v>
      </c>
      <c r="F34" t="s">
        <v>66</v>
      </c>
      <c r="G34" t="s">
        <v>11</v>
      </c>
      <c r="H34" t="s">
        <v>12</v>
      </c>
      <c r="I34" t="s">
        <v>72</v>
      </c>
      <c r="J34" t="str">
        <f>_xlfn.XLOOKUP(TABLE1[[#This Row],[staff_id]], Table2[Personnel Number], Table2[Name])</f>
        <v>Leakhena OU</v>
      </c>
      <c r="K34" t="str">
        <f>_xlfn.XLOOKUP(TABLE1[[#This Row],[staff_id]], Table2[Personnel Number], Table2[Branch])</f>
        <v>Battambang</v>
      </c>
    </row>
    <row r="35" spans="1:11" hidden="1" x14ac:dyDescent="0.35">
      <c r="A35">
        <v>4638596289</v>
      </c>
      <c r="B35" s="1">
        <v>46157.532384259262</v>
      </c>
      <c r="C35" t="s">
        <v>73</v>
      </c>
      <c r="D35">
        <v>962483479</v>
      </c>
      <c r="E35">
        <v>90024899</v>
      </c>
      <c r="F35">
        <v>90024899</v>
      </c>
      <c r="G35" t="s">
        <v>11</v>
      </c>
      <c r="H35" t="s">
        <v>18</v>
      </c>
      <c r="I35" t="s">
        <v>74</v>
      </c>
      <c r="J35" t="str">
        <f>_xlfn.XLOOKUP(TABLE1[[#This Row],[staff_id]], Table2[Personnel Number], Table2[Name])</f>
        <v>Neardy TO</v>
      </c>
      <c r="K35" t="str">
        <f>_xlfn.XLOOKUP(TABLE1[[#This Row],[staff_id]], Table2[Personnel Number], Table2[Branch])</f>
        <v>Chip Mong Tower</v>
      </c>
    </row>
    <row r="36" spans="1:11" hidden="1" x14ac:dyDescent="0.35">
      <c r="A36">
        <v>4819673970</v>
      </c>
      <c r="B36" s="1">
        <v>46157.533553240741</v>
      </c>
      <c r="C36" t="s">
        <v>75</v>
      </c>
      <c r="D36">
        <v>99380822</v>
      </c>
      <c r="E36">
        <v>90024899</v>
      </c>
      <c r="F36">
        <v>90024899</v>
      </c>
      <c r="G36" t="s">
        <v>11</v>
      </c>
      <c r="H36" t="s">
        <v>18</v>
      </c>
      <c r="I36" t="s">
        <v>76</v>
      </c>
      <c r="J36" t="str">
        <f>_xlfn.XLOOKUP(TABLE1[[#This Row],[staff_id]], Table2[Personnel Number], Table2[Name])</f>
        <v>Neardy TO</v>
      </c>
      <c r="K36" t="str">
        <f>_xlfn.XLOOKUP(TABLE1[[#This Row],[staff_id]], Table2[Personnel Number], Table2[Branch])</f>
        <v>Chip Mong Tower</v>
      </c>
    </row>
    <row r="37" spans="1:11" hidden="1" x14ac:dyDescent="0.35">
      <c r="A37">
        <v>4959231912</v>
      </c>
      <c r="B37" s="1">
        <v>46157.534710648149</v>
      </c>
      <c r="C37" t="s">
        <v>77</v>
      </c>
      <c r="D37">
        <v>10360033</v>
      </c>
      <c r="E37">
        <v>90024899</v>
      </c>
      <c r="F37">
        <v>90024899</v>
      </c>
      <c r="G37" t="s">
        <v>11</v>
      </c>
      <c r="H37" t="s">
        <v>18</v>
      </c>
      <c r="I37" t="s">
        <v>78</v>
      </c>
      <c r="J37" t="str">
        <f>_xlfn.XLOOKUP(TABLE1[[#This Row],[staff_id]], Table2[Personnel Number], Table2[Name])</f>
        <v>Neardy TO</v>
      </c>
      <c r="K37" t="str">
        <f>_xlfn.XLOOKUP(TABLE1[[#This Row],[staff_id]], Table2[Personnel Number], Table2[Branch])</f>
        <v>Chip Mong Tower</v>
      </c>
    </row>
    <row r="38" spans="1:11" hidden="1" x14ac:dyDescent="0.35">
      <c r="A38">
        <v>5120656445</v>
      </c>
      <c r="B38" s="1">
        <v>46157.53564814815</v>
      </c>
      <c r="C38" t="s">
        <v>79</v>
      </c>
      <c r="D38">
        <v>976991504</v>
      </c>
      <c r="E38">
        <v>90024584</v>
      </c>
      <c r="F38" t="s">
        <v>80</v>
      </c>
      <c r="G38" t="s">
        <v>11</v>
      </c>
      <c r="H38" t="s">
        <v>81</v>
      </c>
      <c r="J38" t="str">
        <f>_xlfn.XLOOKUP(TABLE1[[#This Row],[staff_id]], Table2[Personnel Number], Table2[Name])</f>
        <v>Rina NAN</v>
      </c>
      <c r="K38" t="str">
        <f>_xlfn.XLOOKUP(TABLE1[[#This Row],[staff_id]], Table2[Personnel Number], Table2[Branch])</f>
        <v>Phsar DermThkov</v>
      </c>
    </row>
    <row r="39" spans="1:11" hidden="1" x14ac:dyDescent="0.35">
      <c r="A39">
        <v>5126814762</v>
      </c>
      <c r="B39" s="1">
        <v>46157.535717592589</v>
      </c>
      <c r="C39" t="s">
        <v>79</v>
      </c>
      <c r="D39">
        <v>976991504</v>
      </c>
      <c r="E39">
        <v>90024584</v>
      </c>
      <c r="F39" t="s">
        <v>80</v>
      </c>
      <c r="G39" t="s">
        <v>11</v>
      </c>
      <c r="H39" t="s">
        <v>81</v>
      </c>
      <c r="J39" t="str">
        <f>_xlfn.XLOOKUP(TABLE1[[#This Row],[staff_id]], Table2[Personnel Number], Table2[Name])</f>
        <v>Rina NAN</v>
      </c>
      <c r="K39" t="str">
        <f>_xlfn.XLOOKUP(TABLE1[[#This Row],[staff_id]], Table2[Personnel Number], Table2[Branch])</f>
        <v>Phsar DermThkov</v>
      </c>
    </row>
    <row r="40" spans="1:11" hidden="1" x14ac:dyDescent="0.35">
      <c r="A40">
        <v>5224026893</v>
      </c>
      <c r="B40" s="1">
        <v>46157.53638888889</v>
      </c>
      <c r="C40" t="s">
        <v>82</v>
      </c>
      <c r="D40">
        <v>977039086</v>
      </c>
      <c r="E40">
        <v>90024584</v>
      </c>
      <c r="F40" t="s">
        <v>80</v>
      </c>
      <c r="G40" t="s">
        <v>11</v>
      </c>
      <c r="H40" t="s">
        <v>83</v>
      </c>
      <c r="J40" t="str">
        <f>_xlfn.XLOOKUP(TABLE1[[#This Row],[staff_id]], Table2[Personnel Number], Table2[Name])</f>
        <v>Rina NAN</v>
      </c>
      <c r="K40" t="str">
        <f>_xlfn.XLOOKUP(TABLE1[[#This Row],[staff_id]], Table2[Personnel Number], Table2[Branch])</f>
        <v>Phsar DermThkov</v>
      </c>
    </row>
    <row r="41" spans="1:11" hidden="1" x14ac:dyDescent="0.35">
      <c r="A41">
        <v>5526784737</v>
      </c>
      <c r="B41" s="1">
        <v>46157.538495370369</v>
      </c>
      <c r="C41" t="s">
        <v>84</v>
      </c>
      <c r="D41">
        <v>70334488</v>
      </c>
      <c r="E41">
        <v>90024584</v>
      </c>
      <c r="F41" t="s">
        <v>80</v>
      </c>
      <c r="G41" t="s">
        <v>11</v>
      </c>
      <c r="H41" t="s">
        <v>18</v>
      </c>
      <c r="J41" t="str">
        <f>_xlfn.XLOOKUP(TABLE1[[#This Row],[staff_id]], Table2[Personnel Number], Table2[Name])</f>
        <v>Rina NAN</v>
      </c>
      <c r="K41" t="str">
        <f>_xlfn.XLOOKUP(TABLE1[[#This Row],[staff_id]], Table2[Personnel Number], Table2[Branch])</f>
        <v>Phsar DermThkov</v>
      </c>
    </row>
    <row r="42" spans="1:11" hidden="1" x14ac:dyDescent="0.35">
      <c r="A42">
        <v>5812245835</v>
      </c>
      <c r="B42" s="1">
        <v>46157.540416666663</v>
      </c>
      <c r="C42" t="s">
        <v>85</v>
      </c>
      <c r="D42">
        <v>15489851</v>
      </c>
      <c r="E42">
        <v>90024584</v>
      </c>
      <c r="F42" t="s">
        <v>80</v>
      </c>
      <c r="G42" t="s">
        <v>11</v>
      </c>
      <c r="H42" t="s">
        <v>18</v>
      </c>
      <c r="J42" t="str">
        <f>_xlfn.XLOOKUP(TABLE1[[#This Row],[staff_id]], Table2[Personnel Number], Table2[Name])</f>
        <v>Rina NAN</v>
      </c>
      <c r="K42" t="str">
        <f>_xlfn.XLOOKUP(TABLE1[[#This Row],[staff_id]], Table2[Personnel Number], Table2[Branch])</f>
        <v>Phsar DermThkov</v>
      </c>
    </row>
    <row r="43" spans="1:11" hidden="1" x14ac:dyDescent="0.35">
      <c r="A43">
        <v>5953625990</v>
      </c>
      <c r="B43" s="1">
        <v>46157.541585648149</v>
      </c>
      <c r="C43" t="s">
        <v>86</v>
      </c>
      <c r="D43">
        <v>12721824</v>
      </c>
      <c r="E43">
        <v>90024908</v>
      </c>
      <c r="F43">
        <v>90024908</v>
      </c>
      <c r="G43" t="s">
        <v>11</v>
      </c>
      <c r="H43" t="s">
        <v>18</v>
      </c>
      <c r="I43" t="s">
        <v>87</v>
      </c>
      <c r="J43" t="str">
        <f>_xlfn.XLOOKUP(TABLE1[[#This Row],[staff_id]], Table2[Personnel Number], Table2[Name])</f>
        <v>Mouyleang ROEUN</v>
      </c>
      <c r="K43" t="str">
        <f>_xlfn.XLOOKUP(TABLE1[[#This Row],[staff_id]], Table2[Personnel Number], Table2[Branch])</f>
        <v>Noromall</v>
      </c>
    </row>
    <row r="44" spans="1:11" hidden="1" x14ac:dyDescent="0.35">
      <c r="A44">
        <v>45213197</v>
      </c>
      <c r="B44" s="1">
        <v>46157.542187500003</v>
      </c>
      <c r="C44" t="s">
        <v>88</v>
      </c>
      <c r="D44">
        <v>10553123</v>
      </c>
      <c r="E44">
        <v>90024584</v>
      </c>
      <c r="F44" t="s">
        <v>80</v>
      </c>
      <c r="G44" t="s">
        <v>11</v>
      </c>
      <c r="H44" t="s">
        <v>18</v>
      </c>
      <c r="J44" t="str">
        <f>_xlfn.XLOOKUP(TABLE1[[#This Row],[staff_id]], Table2[Personnel Number], Table2[Name])</f>
        <v>Rina NAN</v>
      </c>
      <c r="K44" t="str">
        <f>_xlfn.XLOOKUP(TABLE1[[#This Row],[staff_id]], Table2[Personnel Number], Table2[Branch])</f>
        <v>Phsar DermThkov</v>
      </c>
    </row>
    <row r="45" spans="1:11" hidden="1" x14ac:dyDescent="0.35">
      <c r="A45">
        <v>56866321</v>
      </c>
      <c r="B45" s="1">
        <v>46157.542314814818</v>
      </c>
      <c r="C45" t="s">
        <v>89</v>
      </c>
      <c r="D45">
        <v>86288882</v>
      </c>
      <c r="E45">
        <v>90024908</v>
      </c>
      <c r="F45">
        <v>90024908</v>
      </c>
      <c r="G45" t="s">
        <v>11</v>
      </c>
      <c r="H45" t="s">
        <v>18</v>
      </c>
      <c r="I45" t="s">
        <v>90</v>
      </c>
      <c r="J45" t="str">
        <f>_xlfn.XLOOKUP(TABLE1[[#This Row],[staff_id]], Table2[Personnel Number], Table2[Name])</f>
        <v>Mouyleang ROEUN</v>
      </c>
      <c r="K45" t="str">
        <f>_xlfn.XLOOKUP(TABLE1[[#This Row],[staff_id]], Table2[Personnel Number], Table2[Branch])</f>
        <v>Noromall</v>
      </c>
    </row>
    <row r="46" spans="1:11" hidden="1" x14ac:dyDescent="0.35">
      <c r="A46">
        <v>226278720</v>
      </c>
      <c r="B46" s="1">
        <v>46157.543356481481</v>
      </c>
      <c r="C46" t="s">
        <v>91</v>
      </c>
      <c r="D46">
        <v>15718181</v>
      </c>
      <c r="E46">
        <v>90024908</v>
      </c>
      <c r="F46">
        <v>90024908</v>
      </c>
      <c r="G46" t="s">
        <v>11</v>
      </c>
      <c r="H46" t="s">
        <v>18</v>
      </c>
      <c r="I46" t="s">
        <v>92</v>
      </c>
      <c r="J46" t="str">
        <f>_xlfn.XLOOKUP(TABLE1[[#This Row],[staff_id]], Table2[Personnel Number], Table2[Name])</f>
        <v>Mouyleang ROEUN</v>
      </c>
      <c r="K46" t="str">
        <f>_xlfn.XLOOKUP(TABLE1[[#This Row],[staff_id]], Table2[Personnel Number], Table2[Branch])</f>
        <v>Noromall</v>
      </c>
    </row>
    <row r="47" spans="1:11" hidden="1" x14ac:dyDescent="0.35">
      <c r="A47">
        <v>716408864</v>
      </c>
      <c r="B47" s="1">
        <v>46157.546712962961</v>
      </c>
      <c r="C47" t="s">
        <v>93</v>
      </c>
      <c r="D47">
        <v>92788750</v>
      </c>
      <c r="E47">
        <v>90017535</v>
      </c>
      <c r="F47" t="s">
        <v>94</v>
      </c>
      <c r="G47" t="s">
        <v>11</v>
      </c>
      <c r="H47" t="s">
        <v>83</v>
      </c>
      <c r="I47" t="s">
        <v>95</v>
      </c>
      <c r="J47" t="str">
        <f>_xlfn.XLOOKUP(TABLE1[[#This Row],[staff_id]], Table2[Personnel Number], Table2[Name])</f>
        <v>Sreyleak HENG</v>
      </c>
      <c r="K47" t="str">
        <f>_xlfn.XLOOKUP(TABLE1[[#This Row],[staff_id]], Table2[Personnel Number], Table2[Branch])</f>
        <v>Phsar DermThkov</v>
      </c>
    </row>
    <row r="48" spans="1:11" hidden="1" x14ac:dyDescent="0.35">
      <c r="A48">
        <v>1019484767</v>
      </c>
      <c r="B48" s="1">
        <v>46157.548831018517</v>
      </c>
      <c r="C48" t="s">
        <v>96</v>
      </c>
      <c r="D48">
        <v>12955002</v>
      </c>
      <c r="E48">
        <v>90017535</v>
      </c>
      <c r="F48" t="s">
        <v>94</v>
      </c>
      <c r="G48" t="s">
        <v>55</v>
      </c>
      <c r="H48" t="s">
        <v>83</v>
      </c>
      <c r="I48" t="s">
        <v>97</v>
      </c>
      <c r="J48" t="str">
        <f>_xlfn.XLOOKUP(TABLE1[[#This Row],[staff_id]], Table2[Personnel Number], Table2[Name])</f>
        <v>Sreyleak HENG</v>
      </c>
      <c r="K48" t="str">
        <f>_xlfn.XLOOKUP(TABLE1[[#This Row],[staff_id]], Table2[Personnel Number], Table2[Branch])</f>
        <v>Phsar DermThkov</v>
      </c>
    </row>
    <row r="49" spans="1:11" hidden="1" x14ac:dyDescent="0.35">
      <c r="A49">
        <v>1653062854</v>
      </c>
      <c r="B49" s="1">
        <v>46157.553391203714</v>
      </c>
      <c r="C49" t="s">
        <v>98</v>
      </c>
      <c r="D49">
        <v>70678411</v>
      </c>
      <c r="E49">
        <v>90024687</v>
      </c>
      <c r="F49">
        <v>90024687</v>
      </c>
      <c r="G49" t="s">
        <v>11</v>
      </c>
      <c r="H49" t="s">
        <v>18</v>
      </c>
      <c r="I49" t="s">
        <v>99</v>
      </c>
      <c r="J49" t="str">
        <f>_xlfn.XLOOKUP(TABLE1[[#This Row],[staff_id]], Table2[Personnel Number], Table2[Name])</f>
        <v xml:space="preserve">Povrachana VONG </v>
      </c>
      <c r="K49" t="str">
        <f>_xlfn.XLOOKUP(TABLE1[[#This Row],[staff_id]], Table2[Personnel Number], Table2[Branch])</f>
        <v>Chip Mong Tower</v>
      </c>
    </row>
    <row r="50" spans="1:11" hidden="1" x14ac:dyDescent="0.35">
      <c r="A50">
        <v>1657249089</v>
      </c>
      <c r="B50" s="1">
        <v>46157.553437499999</v>
      </c>
      <c r="C50" t="s">
        <v>98</v>
      </c>
      <c r="D50">
        <v>70678411</v>
      </c>
      <c r="E50">
        <v>90024687</v>
      </c>
      <c r="F50">
        <v>90024687</v>
      </c>
      <c r="G50" t="s">
        <v>11</v>
      </c>
      <c r="H50" t="s">
        <v>18</v>
      </c>
      <c r="I50" t="s">
        <v>99</v>
      </c>
      <c r="J50" t="str">
        <f>_xlfn.XLOOKUP(TABLE1[[#This Row],[staff_id]], Table2[Personnel Number], Table2[Name])</f>
        <v xml:space="preserve">Povrachana VONG </v>
      </c>
      <c r="K50" t="str">
        <f>_xlfn.XLOOKUP(TABLE1[[#This Row],[staff_id]], Table2[Personnel Number], Table2[Branch])</f>
        <v>Chip Mong Tower</v>
      </c>
    </row>
    <row r="51" spans="1:11" hidden="1" x14ac:dyDescent="0.35">
      <c r="A51">
        <v>2316076946</v>
      </c>
      <c r="B51" s="1">
        <v>46157.557824074072</v>
      </c>
      <c r="C51" t="s">
        <v>100</v>
      </c>
      <c r="D51">
        <v>963904475</v>
      </c>
      <c r="E51">
        <v>90021913</v>
      </c>
      <c r="F51" t="s">
        <v>101</v>
      </c>
      <c r="G51" t="s">
        <v>11</v>
      </c>
      <c r="H51" t="s">
        <v>18</v>
      </c>
      <c r="I51" t="s">
        <v>102</v>
      </c>
      <c r="J51" t="str">
        <f>_xlfn.XLOOKUP(TABLE1[[#This Row],[staff_id]], Table2[Personnel Number], Table2[Name])</f>
        <v>Dane NY</v>
      </c>
      <c r="K51" t="str">
        <f>_xlfn.XLOOKUP(TABLE1[[#This Row],[staff_id]], Table2[Personnel Number], Table2[Branch])</f>
        <v>Chip Mong Tower</v>
      </c>
    </row>
    <row r="52" spans="1:11" hidden="1" x14ac:dyDescent="0.35">
      <c r="A52">
        <v>2449358840</v>
      </c>
      <c r="B52" s="1">
        <v>46157.558900462973</v>
      </c>
      <c r="C52" t="s">
        <v>103</v>
      </c>
      <c r="D52">
        <v>98780870</v>
      </c>
      <c r="E52">
        <v>90021913</v>
      </c>
      <c r="F52" t="s">
        <v>101</v>
      </c>
      <c r="G52" t="s">
        <v>11</v>
      </c>
      <c r="H52" t="s">
        <v>18</v>
      </c>
      <c r="I52" t="s">
        <v>104</v>
      </c>
      <c r="J52" t="str">
        <f>_xlfn.XLOOKUP(TABLE1[[#This Row],[staff_id]], Table2[Personnel Number], Table2[Name])</f>
        <v>Dane NY</v>
      </c>
      <c r="K52" t="str">
        <f>_xlfn.XLOOKUP(TABLE1[[#This Row],[staff_id]], Table2[Personnel Number], Table2[Branch])</f>
        <v>Chip Mong Tower</v>
      </c>
    </row>
    <row r="53" spans="1:11" hidden="1" x14ac:dyDescent="0.35">
      <c r="A53">
        <v>2629219837</v>
      </c>
      <c r="B53" s="1">
        <v>46157.560057870367</v>
      </c>
      <c r="C53" t="s">
        <v>105</v>
      </c>
      <c r="D53">
        <v>10721546</v>
      </c>
      <c r="E53">
        <v>90021913</v>
      </c>
      <c r="F53" t="s">
        <v>101</v>
      </c>
      <c r="G53" t="s">
        <v>11</v>
      </c>
      <c r="H53" t="s">
        <v>18</v>
      </c>
      <c r="I53" t="s">
        <v>106</v>
      </c>
      <c r="J53" t="str">
        <f>_xlfn.XLOOKUP(TABLE1[[#This Row],[staff_id]], Table2[Personnel Number], Table2[Name])</f>
        <v>Dane NY</v>
      </c>
      <c r="K53" t="str">
        <f>_xlfn.XLOOKUP(TABLE1[[#This Row],[staff_id]], Table2[Personnel Number], Table2[Branch])</f>
        <v>Chip Mong Tower</v>
      </c>
    </row>
    <row r="54" spans="1:11" hidden="1" x14ac:dyDescent="0.35">
      <c r="A54">
        <v>2803830861</v>
      </c>
      <c r="B54" s="1">
        <v>46157.561145833337</v>
      </c>
      <c r="C54" t="s">
        <v>107</v>
      </c>
      <c r="D54">
        <v>15570123</v>
      </c>
      <c r="E54">
        <v>90024908</v>
      </c>
      <c r="F54">
        <v>90024908</v>
      </c>
      <c r="G54" t="s">
        <v>11</v>
      </c>
      <c r="H54" t="s">
        <v>18</v>
      </c>
      <c r="I54" t="s">
        <v>108</v>
      </c>
      <c r="J54" t="str">
        <f>_xlfn.XLOOKUP(TABLE1[[#This Row],[staff_id]], Table2[Personnel Number], Table2[Name])</f>
        <v>Mouyleang ROEUN</v>
      </c>
      <c r="K54" t="str">
        <f>_xlfn.XLOOKUP(TABLE1[[#This Row],[staff_id]], Table2[Personnel Number], Table2[Branch])</f>
        <v>Noromall</v>
      </c>
    </row>
    <row r="55" spans="1:11" hidden="1" x14ac:dyDescent="0.35">
      <c r="A55">
        <v>2814078411</v>
      </c>
      <c r="B55" s="1">
        <v>46157.561273148152</v>
      </c>
      <c r="C55" t="s">
        <v>109</v>
      </c>
      <c r="D55">
        <v>95249018</v>
      </c>
      <c r="E55">
        <v>90021913</v>
      </c>
      <c r="F55" t="s">
        <v>101</v>
      </c>
      <c r="G55" t="s">
        <v>11</v>
      </c>
      <c r="H55" t="s">
        <v>110</v>
      </c>
      <c r="I55" t="s">
        <v>111</v>
      </c>
      <c r="J55" t="str">
        <f>_xlfn.XLOOKUP(TABLE1[[#This Row],[staff_id]], Table2[Personnel Number], Table2[Name])</f>
        <v>Dane NY</v>
      </c>
      <c r="K55" t="str">
        <f>_xlfn.XLOOKUP(TABLE1[[#This Row],[staff_id]], Table2[Personnel Number], Table2[Branch])</f>
        <v>Chip Mong Tower</v>
      </c>
    </row>
    <row r="56" spans="1:11" hidden="1" x14ac:dyDescent="0.35">
      <c r="A56">
        <v>2844319327</v>
      </c>
      <c r="B56" s="1">
        <v>46157.561620370368</v>
      </c>
      <c r="C56" t="s">
        <v>112</v>
      </c>
      <c r="D56">
        <v>10929362</v>
      </c>
      <c r="E56">
        <v>90024908</v>
      </c>
      <c r="F56">
        <v>90024908</v>
      </c>
      <c r="G56" t="s">
        <v>11</v>
      </c>
      <c r="H56" t="s">
        <v>18</v>
      </c>
      <c r="J56" t="str">
        <f>_xlfn.XLOOKUP(TABLE1[[#This Row],[staff_id]], Table2[Personnel Number], Table2[Name])</f>
        <v>Mouyleang ROEUN</v>
      </c>
      <c r="K56" t="str">
        <f>_xlfn.XLOOKUP(TABLE1[[#This Row],[staff_id]], Table2[Personnel Number], Table2[Branch])</f>
        <v>Noromall</v>
      </c>
    </row>
    <row r="57" spans="1:11" hidden="1" x14ac:dyDescent="0.35">
      <c r="A57">
        <v>3050411183</v>
      </c>
      <c r="B57" s="1">
        <v>46157.563078703701</v>
      </c>
      <c r="C57" t="s">
        <v>113</v>
      </c>
      <c r="D57">
        <v>69428545</v>
      </c>
      <c r="E57">
        <v>90021913</v>
      </c>
      <c r="F57" t="s">
        <v>101</v>
      </c>
      <c r="G57" t="s">
        <v>11</v>
      </c>
      <c r="H57" t="s">
        <v>110</v>
      </c>
      <c r="I57" t="s">
        <v>114</v>
      </c>
      <c r="J57" t="str">
        <f>_xlfn.XLOOKUP(TABLE1[[#This Row],[staff_id]], Table2[Personnel Number], Table2[Name])</f>
        <v>Dane NY</v>
      </c>
      <c r="K57" t="str">
        <f>_xlfn.XLOOKUP(TABLE1[[#This Row],[staff_id]], Table2[Personnel Number], Table2[Branch])</f>
        <v>Chip Mong Tower</v>
      </c>
    </row>
    <row r="58" spans="1:11" hidden="1" x14ac:dyDescent="0.35">
      <c r="A58">
        <v>3053535829</v>
      </c>
      <c r="B58" s="1">
        <v>46157.563113425917</v>
      </c>
      <c r="C58" t="s">
        <v>115</v>
      </c>
      <c r="D58">
        <v>11469849</v>
      </c>
      <c r="E58">
        <v>90024687</v>
      </c>
      <c r="F58">
        <v>90024687</v>
      </c>
      <c r="G58" t="s">
        <v>116</v>
      </c>
      <c r="H58" t="s">
        <v>12</v>
      </c>
      <c r="I58" t="s">
        <v>117</v>
      </c>
      <c r="J58" t="str">
        <f>_xlfn.XLOOKUP(TABLE1[[#This Row],[staff_id]], Table2[Personnel Number], Table2[Name])</f>
        <v xml:space="preserve">Povrachana VONG </v>
      </c>
      <c r="K58" t="str">
        <f>_xlfn.XLOOKUP(TABLE1[[#This Row],[staff_id]], Table2[Personnel Number], Table2[Branch])</f>
        <v>Chip Mong Tower</v>
      </c>
    </row>
    <row r="59" spans="1:11" hidden="1" x14ac:dyDescent="0.35">
      <c r="A59">
        <v>3104184176</v>
      </c>
      <c r="B59" s="1">
        <v>46157.563240740739</v>
      </c>
      <c r="C59" t="s">
        <v>118</v>
      </c>
      <c r="D59">
        <v>15607548</v>
      </c>
      <c r="E59">
        <v>90024908</v>
      </c>
      <c r="F59">
        <v>90024908</v>
      </c>
      <c r="G59" t="s">
        <v>11</v>
      </c>
      <c r="H59" t="s">
        <v>18</v>
      </c>
      <c r="I59" t="s">
        <v>108</v>
      </c>
      <c r="J59" t="str">
        <f>_xlfn.XLOOKUP(TABLE1[[#This Row],[staff_id]], Table2[Personnel Number], Table2[Name])</f>
        <v>Mouyleang ROEUN</v>
      </c>
      <c r="K59" t="str">
        <f>_xlfn.XLOOKUP(TABLE1[[#This Row],[staff_id]], Table2[Personnel Number], Table2[Branch])</f>
        <v>Noromall</v>
      </c>
    </row>
    <row r="60" spans="1:11" hidden="1" x14ac:dyDescent="0.35">
      <c r="A60">
        <v>3419719389</v>
      </c>
      <c r="B60" s="1">
        <v>46157.565497685187</v>
      </c>
      <c r="C60" t="s">
        <v>119</v>
      </c>
      <c r="D60">
        <v>718888823</v>
      </c>
      <c r="E60">
        <v>90017752</v>
      </c>
      <c r="F60" t="s">
        <v>120</v>
      </c>
      <c r="G60" t="s">
        <v>11</v>
      </c>
      <c r="H60" t="s">
        <v>18</v>
      </c>
      <c r="I60" t="s">
        <v>121</v>
      </c>
      <c r="J60" t="str">
        <f>_xlfn.XLOOKUP(TABLE1[[#This Row],[staff_id]], Table2[Personnel Number], Table2[Name])</f>
        <v>Chanthy VOUEN</v>
      </c>
      <c r="K60" t="str">
        <f>_xlfn.XLOOKUP(TABLE1[[#This Row],[staff_id]], Table2[Personnel Number], Table2[Branch])</f>
        <v>598 Mall</v>
      </c>
    </row>
    <row r="61" spans="1:11" hidden="1" x14ac:dyDescent="0.35">
      <c r="A61">
        <v>3540948525</v>
      </c>
      <c r="B61" s="1">
        <v>46157.566435185188</v>
      </c>
      <c r="C61" t="s">
        <v>122</v>
      </c>
      <c r="D61">
        <v>883901777</v>
      </c>
      <c r="E61">
        <v>90024687</v>
      </c>
      <c r="F61">
        <v>90024687</v>
      </c>
      <c r="G61" t="s">
        <v>11</v>
      </c>
      <c r="H61" t="s">
        <v>12</v>
      </c>
      <c r="I61" t="s">
        <v>123</v>
      </c>
      <c r="J61" t="str">
        <f>_xlfn.XLOOKUP(TABLE1[[#This Row],[staff_id]], Table2[Personnel Number], Table2[Name])</f>
        <v xml:space="preserve">Povrachana VONG </v>
      </c>
      <c r="K61" t="str">
        <f>_xlfn.XLOOKUP(TABLE1[[#This Row],[staff_id]], Table2[Personnel Number], Table2[Branch])</f>
        <v>Chip Mong Tower</v>
      </c>
    </row>
    <row r="62" spans="1:11" hidden="1" x14ac:dyDescent="0.35">
      <c r="A62">
        <v>3922401604</v>
      </c>
      <c r="B62" s="1">
        <v>46157.569004629629</v>
      </c>
      <c r="C62" t="s">
        <v>124</v>
      </c>
      <c r="D62">
        <v>92729647</v>
      </c>
      <c r="E62">
        <v>90017752</v>
      </c>
      <c r="F62" t="s">
        <v>120</v>
      </c>
      <c r="G62" t="s">
        <v>11</v>
      </c>
      <c r="H62" t="s">
        <v>81</v>
      </c>
      <c r="I62" t="s">
        <v>125</v>
      </c>
      <c r="J62" t="str">
        <f>_xlfn.XLOOKUP(TABLE1[[#This Row],[staff_id]], Table2[Personnel Number], Table2[Name])</f>
        <v>Chanthy VOUEN</v>
      </c>
      <c r="K62" t="str">
        <f>_xlfn.XLOOKUP(TABLE1[[#This Row],[staff_id]], Table2[Personnel Number], Table2[Branch])</f>
        <v>598 Mall</v>
      </c>
    </row>
    <row r="63" spans="1:11" hidden="1" x14ac:dyDescent="0.35">
      <c r="A63">
        <v>4109188407</v>
      </c>
      <c r="B63" s="1">
        <v>46157.570243055547</v>
      </c>
      <c r="C63" t="s">
        <v>126</v>
      </c>
      <c r="D63">
        <v>977626218</v>
      </c>
      <c r="E63">
        <v>90017752</v>
      </c>
      <c r="F63" t="s">
        <v>120</v>
      </c>
      <c r="G63" t="s">
        <v>50</v>
      </c>
      <c r="H63" t="s">
        <v>81</v>
      </c>
      <c r="I63" t="s">
        <v>125</v>
      </c>
      <c r="J63" t="str">
        <f>_xlfn.XLOOKUP(TABLE1[[#This Row],[staff_id]], Table2[Personnel Number], Table2[Name])</f>
        <v>Chanthy VOUEN</v>
      </c>
      <c r="K63" t="str">
        <f>_xlfn.XLOOKUP(TABLE1[[#This Row],[staff_id]], Table2[Personnel Number], Table2[Branch])</f>
        <v>598 Mall</v>
      </c>
    </row>
    <row r="64" spans="1:11" hidden="1" x14ac:dyDescent="0.35">
      <c r="A64">
        <v>4615094660</v>
      </c>
      <c r="B64" s="1">
        <v>46157.573784722219</v>
      </c>
      <c r="C64" t="s">
        <v>127</v>
      </c>
      <c r="D64">
        <v>966566665</v>
      </c>
      <c r="E64">
        <v>90017752</v>
      </c>
      <c r="F64" t="s">
        <v>120</v>
      </c>
      <c r="G64" t="s">
        <v>11</v>
      </c>
      <c r="H64" t="s">
        <v>81</v>
      </c>
      <c r="I64" t="s">
        <v>125</v>
      </c>
      <c r="J64" t="str">
        <f>_xlfn.XLOOKUP(TABLE1[[#This Row],[staff_id]], Table2[Personnel Number], Table2[Name])</f>
        <v>Chanthy VOUEN</v>
      </c>
      <c r="K64" t="str">
        <f>_xlfn.XLOOKUP(TABLE1[[#This Row],[staff_id]], Table2[Personnel Number], Table2[Branch])</f>
        <v>598 Mall</v>
      </c>
    </row>
    <row r="65" spans="1:11" hidden="1" x14ac:dyDescent="0.35">
      <c r="A65">
        <v>4630150245</v>
      </c>
      <c r="B65" s="1">
        <v>46157.573958333327</v>
      </c>
      <c r="C65" t="s">
        <v>128</v>
      </c>
      <c r="D65">
        <v>15950627</v>
      </c>
      <c r="E65">
        <v>90024584</v>
      </c>
      <c r="F65" t="s">
        <v>80</v>
      </c>
      <c r="G65" t="s">
        <v>11</v>
      </c>
      <c r="H65" t="s">
        <v>18</v>
      </c>
      <c r="J65" t="str">
        <f>_xlfn.XLOOKUP(TABLE1[[#This Row],[staff_id]], Table2[Personnel Number], Table2[Name])</f>
        <v>Rina NAN</v>
      </c>
      <c r="K65" t="str">
        <f>_xlfn.XLOOKUP(TABLE1[[#This Row],[staff_id]], Table2[Personnel Number], Table2[Branch])</f>
        <v>Phsar DermThkov</v>
      </c>
    </row>
    <row r="66" spans="1:11" hidden="1" x14ac:dyDescent="0.35">
      <c r="A66">
        <v>5039718950</v>
      </c>
      <c r="B66" s="1">
        <v>46157.576840277783</v>
      </c>
      <c r="C66" t="s">
        <v>129</v>
      </c>
      <c r="D66">
        <v>15688286</v>
      </c>
      <c r="E66">
        <v>90024584</v>
      </c>
      <c r="F66" t="s">
        <v>80</v>
      </c>
      <c r="G66" t="s">
        <v>11</v>
      </c>
      <c r="H66" t="s">
        <v>18</v>
      </c>
      <c r="J66" t="str">
        <f>_xlfn.XLOOKUP(TABLE1[[#This Row],[staff_id]], Table2[Personnel Number], Table2[Name])</f>
        <v>Rina NAN</v>
      </c>
      <c r="K66" t="str">
        <f>_xlfn.XLOOKUP(TABLE1[[#This Row],[staff_id]], Table2[Personnel Number], Table2[Branch])</f>
        <v>Phsar DermThkov</v>
      </c>
    </row>
    <row r="67" spans="1:11" hidden="1" x14ac:dyDescent="0.35">
      <c r="A67">
        <v>5228376711</v>
      </c>
      <c r="B67" s="1">
        <v>46157.578101851846</v>
      </c>
      <c r="C67" t="s">
        <v>130</v>
      </c>
      <c r="D67">
        <v>17974499</v>
      </c>
      <c r="E67">
        <v>90024586</v>
      </c>
      <c r="F67" t="s">
        <v>21</v>
      </c>
      <c r="G67" t="s">
        <v>11</v>
      </c>
      <c r="H67" t="s">
        <v>18</v>
      </c>
      <c r="I67" t="s">
        <v>131</v>
      </c>
      <c r="J67" t="str">
        <f>_xlfn.XLOOKUP(TABLE1[[#This Row],[staff_id]], Table2[Personnel Number], Table2[Name])</f>
        <v>Moneath NA</v>
      </c>
      <c r="K67" t="str">
        <f>_xlfn.XLOOKUP(TABLE1[[#This Row],[staff_id]], Table2[Personnel Number], Table2[Branch])</f>
        <v>Phsar DermThkov</v>
      </c>
    </row>
    <row r="68" spans="1:11" hidden="1" x14ac:dyDescent="0.35">
      <c r="A68">
        <v>5253617712</v>
      </c>
      <c r="B68" s="1">
        <v>46157.5783912037</v>
      </c>
      <c r="C68" t="s">
        <v>132</v>
      </c>
      <c r="D68">
        <v>12283049</v>
      </c>
      <c r="E68">
        <v>90017752</v>
      </c>
      <c r="F68" t="s">
        <v>120</v>
      </c>
      <c r="G68" t="s">
        <v>11</v>
      </c>
      <c r="H68" t="s">
        <v>81</v>
      </c>
      <c r="I68" t="s">
        <v>125</v>
      </c>
      <c r="J68" t="str">
        <f>_xlfn.XLOOKUP(TABLE1[[#This Row],[staff_id]], Table2[Personnel Number], Table2[Name])</f>
        <v>Chanthy VOUEN</v>
      </c>
      <c r="K68" t="str">
        <f>_xlfn.XLOOKUP(TABLE1[[#This Row],[staff_id]], Table2[Personnel Number], Table2[Branch])</f>
        <v>598 Mall</v>
      </c>
    </row>
    <row r="69" spans="1:11" hidden="1" x14ac:dyDescent="0.35">
      <c r="A69">
        <v>5335918988</v>
      </c>
      <c r="B69" s="1">
        <v>46157.578877314823</v>
      </c>
      <c r="C69" t="s">
        <v>133</v>
      </c>
      <c r="D69">
        <v>968888817</v>
      </c>
      <c r="E69">
        <v>90024687</v>
      </c>
      <c r="F69">
        <v>90024687</v>
      </c>
      <c r="G69" t="s">
        <v>11</v>
      </c>
      <c r="H69" t="s">
        <v>12</v>
      </c>
      <c r="I69" t="s">
        <v>134</v>
      </c>
      <c r="J69" t="str">
        <f>_xlfn.XLOOKUP(TABLE1[[#This Row],[staff_id]], Table2[Personnel Number], Table2[Name])</f>
        <v xml:space="preserve">Povrachana VONG </v>
      </c>
      <c r="K69" t="str">
        <f>_xlfn.XLOOKUP(TABLE1[[#This Row],[staff_id]], Table2[Personnel Number], Table2[Branch])</f>
        <v>Chip Mong Tower</v>
      </c>
    </row>
    <row r="70" spans="1:11" hidden="1" x14ac:dyDescent="0.35">
      <c r="A70">
        <v>5430966169</v>
      </c>
      <c r="B70" s="1">
        <v>46157.579513888893</v>
      </c>
      <c r="C70" t="s">
        <v>135</v>
      </c>
      <c r="D70">
        <v>975611102</v>
      </c>
      <c r="E70">
        <v>90024584</v>
      </c>
      <c r="F70" t="s">
        <v>80</v>
      </c>
      <c r="G70" t="s">
        <v>11</v>
      </c>
      <c r="H70" t="s">
        <v>83</v>
      </c>
      <c r="J70" t="str">
        <f>_xlfn.XLOOKUP(TABLE1[[#This Row],[staff_id]], Table2[Personnel Number], Table2[Name])</f>
        <v>Rina NAN</v>
      </c>
      <c r="K70" t="str">
        <f>_xlfn.XLOOKUP(TABLE1[[#This Row],[staff_id]], Table2[Personnel Number], Table2[Branch])</f>
        <v>Phsar DermThkov</v>
      </c>
    </row>
    <row r="71" spans="1:11" hidden="1" x14ac:dyDescent="0.35">
      <c r="A71">
        <v>5505562676</v>
      </c>
      <c r="B71" s="1">
        <v>46157.579918981479</v>
      </c>
      <c r="C71" t="s">
        <v>136</v>
      </c>
      <c r="D71">
        <v>85824286</v>
      </c>
      <c r="E71">
        <v>90024586</v>
      </c>
      <c r="F71" t="s">
        <v>21</v>
      </c>
      <c r="G71" t="s">
        <v>11</v>
      </c>
      <c r="H71" t="s">
        <v>18</v>
      </c>
      <c r="I71" t="s">
        <v>137</v>
      </c>
      <c r="J71" t="str">
        <f>_xlfn.XLOOKUP(TABLE1[[#This Row],[staff_id]], Table2[Personnel Number], Table2[Name])</f>
        <v>Moneath NA</v>
      </c>
      <c r="K71" t="str">
        <f>_xlfn.XLOOKUP(TABLE1[[#This Row],[staff_id]], Table2[Personnel Number], Table2[Branch])</f>
        <v>Phsar DermThkov</v>
      </c>
    </row>
    <row r="72" spans="1:11" hidden="1" x14ac:dyDescent="0.35">
      <c r="A72">
        <v>5547025242</v>
      </c>
      <c r="B72" s="1">
        <v>46157.580405092587</v>
      </c>
      <c r="C72" t="s">
        <v>138</v>
      </c>
      <c r="D72">
        <v>89689999</v>
      </c>
      <c r="E72">
        <v>90024584</v>
      </c>
      <c r="F72" t="s">
        <v>80</v>
      </c>
      <c r="G72" t="s">
        <v>11</v>
      </c>
      <c r="H72" t="s">
        <v>18</v>
      </c>
      <c r="J72" t="str">
        <f>_xlfn.XLOOKUP(TABLE1[[#This Row],[staff_id]], Table2[Personnel Number], Table2[Name])</f>
        <v>Rina NAN</v>
      </c>
      <c r="K72" t="str">
        <f>_xlfn.XLOOKUP(TABLE1[[#This Row],[staff_id]], Table2[Personnel Number], Table2[Branch])</f>
        <v>Phsar DermThkov</v>
      </c>
    </row>
    <row r="73" spans="1:11" hidden="1" x14ac:dyDescent="0.35">
      <c r="A73">
        <v>5622173595</v>
      </c>
      <c r="B73" s="1">
        <v>46157.580810185187</v>
      </c>
      <c r="C73" t="s">
        <v>139</v>
      </c>
      <c r="D73">
        <v>15499289</v>
      </c>
      <c r="E73">
        <v>90024586</v>
      </c>
      <c r="F73" t="s">
        <v>21</v>
      </c>
      <c r="G73" t="s">
        <v>11</v>
      </c>
      <c r="H73" t="s">
        <v>18</v>
      </c>
      <c r="I73" t="s">
        <v>140</v>
      </c>
      <c r="J73" t="str">
        <f>_xlfn.XLOOKUP(TABLE1[[#This Row],[staff_id]], Table2[Personnel Number], Table2[Name])</f>
        <v>Moneath NA</v>
      </c>
      <c r="K73" t="str">
        <f>_xlfn.XLOOKUP(TABLE1[[#This Row],[staff_id]], Table2[Personnel Number], Table2[Branch])</f>
        <v>Phsar DermThkov</v>
      </c>
    </row>
    <row r="74" spans="1:11" hidden="1" x14ac:dyDescent="0.35">
      <c r="A74">
        <v>5719619276</v>
      </c>
      <c r="B74" s="1">
        <v>46157.581469907411</v>
      </c>
      <c r="C74" t="s">
        <v>141</v>
      </c>
      <c r="D74">
        <v>12708880</v>
      </c>
      <c r="E74">
        <v>90024779</v>
      </c>
      <c r="F74">
        <v>90024779</v>
      </c>
      <c r="G74" t="s">
        <v>50</v>
      </c>
      <c r="H74" t="s">
        <v>83</v>
      </c>
      <c r="J74" t="str">
        <f>_xlfn.XLOOKUP(TABLE1[[#This Row],[staff_id]], Table2[Personnel Number], Table2[Name])</f>
        <v>Kimhor CHIM</v>
      </c>
      <c r="K74" t="str">
        <f>_xlfn.XLOOKUP(TABLE1[[#This Row],[staff_id]], Table2[Personnel Number], Table2[Branch])</f>
        <v>Preah Norodom</v>
      </c>
    </row>
    <row r="75" spans="1:11" hidden="1" x14ac:dyDescent="0.35">
      <c r="A75">
        <v>5814782874</v>
      </c>
      <c r="B75" s="1">
        <v>46157.582106481481</v>
      </c>
      <c r="C75" t="s">
        <v>142</v>
      </c>
      <c r="D75">
        <v>16651041</v>
      </c>
      <c r="E75">
        <v>90024779</v>
      </c>
      <c r="F75">
        <v>90024779</v>
      </c>
      <c r="G75" t="s">
        <v>11</v>
      </c>
      <c r="H75" t="s">
        <v>83</v>
      </c>
      <c r="I75" t="s">
        <v>143</v>
      </c>
      <c r="J75" t="str">
        <f>_xlfn.XLOOKUP(TABLE1[[#This Row],[staff_id]], Table2[Personnel Number], Table2[Name])</f>
        <v>Kimhor CHIM</v>
      </c>
      <c r="K75" t="str">
        <f>_xlfn.XLOOKUP(TABLE1[[#This Row],[staff_id]], Table2[Personnel Number], Table2[Branch])</f>
        <v>Preah Norodom</v>
      </c>
    </row>
    <row r="76" spans="1:11" hidden="1" x14ac:dyDescent="0.35">
      <c r="A76">
        <v>5907430369</v>
      </c>
      <c r="B76" s="1">
        <v>46157.582719907397</v>
      </c>
      <c r="C76" t="s">
        <v>144</v>
      </c>
      <c r="D76">
        <v>77959858</v>
      </c>
      <c r="E76">
        <v>90024779</v>
      </c>
      <c r="F76">
        <v>90024779</v>
      </c>
      <c r="G76" t="s">
        <v>11</v>
      </c>
      <c r="H76" t="s">
        <v>83</v>
      </c>
      <c r="I76" t="s">
        <v>145</v>
      </c>
      <c r="J76" t="str">
        <f>_xlfn.XLOOKUP(TABLE1[[#This Row],[staff_id]], Table2[Personnel Number], Table2[Name])</f>
        <v>Kimhor CHIM</v>
      </c>
      <c r="K76" t="str">
        <f>_xlfn.XLOOKUP(TABLE1[[#This Row],[staff_id]], Table2[Personnel Number], Table2[Branch])</f>
        <v>Preah Norodom</v>
      </c>
    </row>
    <row r="77" spans="1:11" hidden="1" x14ac:dyDescent="0.35">
      <c r="A77">
        <v>125034866</v>
      </c>
      <c r="B77" s="1">
        <v>46157.584317129629</v>
      </c>
      <c r="C77" t="s">
        <v>146</v>
      </c>
      <c r="D77">
        <v>15578222</v>
      </c>
      <c r="E77">
        <v>90024586</v>
      </c>
      <c r="F77" t="s">
        <v>21</v>
      </c>
      <c r="G77" t="s">
        <v>11</v>
      </c>
      <c r="H77" t="s">
        <v>18</v>
      </c>
      <c r="I77" t="s">
        <v>147</v>
      </c>
      <c r="J77" t="str">
        <f>_xlfn.XLOOKUP(TABLE1[[#This Row],[staff_id]], Table2[Personnel Number], Table2[Name])</f>
        <v>Moneath NA</v>
      </c>
      <c r="K77" t="str">
        <f>_xlfn.XLOOKUP(TABLE1[[#This Row],[staff_id]], Table2[Personnel Number], Table2[Branch])</f>
        <v>Phsar DermThkov</v>
      </c>
    </row>
    <row r="78" spans="1:11" hidden="1" x14ac:dyDescent="0.35">
      <c r="A78">
        <v>229976612</v>
      </c>
      <c r="B78" s="1">
        <v>46157.585057870368</v>
      </c>
      <c r="C78" t="s">
        <v>148</v>
      </c>
      <c r="D78">
        <v>69555398</v>
      </c>
      <c r="E78">
        <v>90024586</v>
      </c>
      <c r="F78" t="s">
        <v>21</v>
      </c>
      <c r="G78" t="s">
        <v>50</v>
      </c>
      <c r="H78" t="s">
        <v>18</v>
      </c>
      <c r="J78" t="str">
        <f>_xlfn.XLOOKUP(TABLE1[[#This Row],[staff_id]], Table2[Personnel Number], Table2[Name])</f>
        <v>Moneath NA</v>
      </c>
      <c r="K78" t="str">
        <f>_xlfn.XLOOKUP(TABLE1[[#This Row],[staff_id]], Table2[Personnel Number], Table2[Branch])</f>
        <v>Phsar DermThkov</v>
      </c>
    </row>
    <row r="79" spans="1:11" hidden="1" x14ac:dyDescent="0.35">
      <c r="A79">
        <v>551136169</v>
      </c>
      <c r="B79" s="1">
        <v>46157.587395833332</v>
      </c>
      <c r="C79" t="s">
        <v>149</v>
      </c>
      <c r="D79">
        <v>12565919</v>
      </c>
      <c r="E79">
        <v>90024586</v>
      </c>
      <c r="F79" t="s">
        <v>21</v>
      </c>
      <c r="G79" t="s">
        <v>11</v>
      </c>
      <c r="H79" t="s">
        <v>18</v>
      </c>
      <c r="I79" t="s">
        <v>150</v>
      </c>
      <c r="J79" t="str">
        <f>_xlfn.XLOOKUP(TABLE1[[#This Row],[staff_id]], Table2[Personnel Number], Table2[Name])</f>
        <v>Moneath NA</v>
      </c>
      <c r="K79" t="str">
        <f>_xlfn.XLOOKUP(TABLE1[[#This Row],[staff_id]], Table2[Personnel Number], Table2[Branch])</f>
        <v>Phsar DermThkov</v>
      </c>
    </row>
    <row r="80" spans="1:11" hidden="1" x14ac:dyDescent="0.35">
      <c r="A80">
        <v>731448975</v>
      </c>
      <c r="B80" s="1">
        <v>46157.588553240741</v>
      </c>
      <c r="C80" t="s">
        <v>151</v>
      </c>
      <c r="D80">
        <v>12869318</v>
      </c>
      <c r="E80">
        <v>90024586</v>
      </c>
      <c r="F80" t="s">
        <v>21</v>
      </c>
      <c r="G80" t="s">
        <v>11</v>
      </c>
      <c r="H80" t="s">
        <v>18</v>
      </c>
      <c r="I80" t="s">
        <v>150</v>
      </c>
      <c r="J80" t="str">
        <f>_xlfn.XLOOKUP(TABLE1[[#This Row],[staff_id]], Table2[Personnel Number], Table2[Name])</f>
        <v>Moneath NA</v>
      </c>
      <c r="K80" t="str">
        <f>_xlfn.XLOOKUP(TABLE1[[#This Row],[staff_id]], Table2[Personnel Number], Table2[Branch])</f>
        <v>Phsar DermThkov</v>
      </c>
    </row>
    <row r="81" spans="1:11" hidden="1" x14ac:dyDescent="0.35">
      <c r="A81">
        <v>3024585357</v>
      </c>
      <c r="B81" s="1">
        <v>46157.604444444441</v>
      </c>
      <c r="C81" t="s">
        <v>152</v>
      </c>
      <c r="D81">
        <v>885881575</v>
      </c>
      <c r="E81">
        <v>90017535</v>
      </c>
      <c r="F81" t="s">
        <v>94</v>
      </c>
      <c r="G81" t="s">
        <v>11</v>
      </c>
      <c r="H81" t="s">
        <v>83</v>
      </c>
      <c r="I81" t="s">
        <v>153</v>
      </c>
      <c r="J81" t="str">
        <f>_xlfn.XLOOKUP(TABLE1[[#This Row],[staff_id]], Table2[Personnel Number], Table2[Name])</f>
        <v>Sreyleak HENG</v>
      </c>
      <c r="K81" t="str">
        <f>_xlfn.XLOOKUP(TABLE1[[#This Row],[staff_id]], Table2[Personnel Number], Table2[Branch])</f>
        <v>Phsar DermThkov</v>
      </c>
    </row>
    <row r="82" spans="1:11" hidden="1" x14ac:dyDescent="0.35">
      <c r="A82">
        <v>3048440219</v>
      </c>
      <c r="B82" s="1">
        <v>46157.604722222219</v>
      </c>
      <c r="C82" t="s">
        <v>154</v>
      </c>
      <c r="D82">
        <v>12631661</v>
      </c>
      <c r="E82">
        <v>90024876</v>
      </c>
      <c r="F82">
        <v>90024876</v>
      </c>
      <c r="G82" t="s">
        <v>11</v>
      </c>
      <c r="H82" t="s">
        <v>18</v>
      </c>
      <c r="I82" t="s">
        <v>155</v>
      </c>
      <c r="J82" t="str">
        <f>_xlfn.XLOOKUP(TABLE1[[#This Row],[staff_id]], Table2[Personnel Number], Table2[Name])</f>
        <v xml:space="preserve">Phary SIN </v>
      </c>
      <c r="K82" t="str">
        <f>_xlfn.XLOOKUP(TABLE1[[#This Row],[staff_id]], Table2[Personnel Number], Table2[Branch])</f>
        <v>Noromall</v>
      </c>
    </row>
    <row r="83" spans="1:11" hidden="1" x14ac:dyDescent="0.35">
      <c r="A83">
        <v>3222568562</v>
      </c>
      <c r="B83" s="1">
        <v>46157.605810185189</v>
      </c>
      <c r="C83" t="s">
        <v>156</v>
      </c>
      <c r="D83">
        <v>81500214</v>
      </c>
      <c r="E83">
        <v>90024876</v>
      </c>
      <c r="F83">
        <v>90024876</v>
      </c>
      <c r="G83" t="s">
        <v>11</v>
      </c>
      <c r="H83" t="s">
        <v>18</v>
      </c>
      <c r="I83" t="s">
        <v>157</v>
      </c>
      <c r="J83" t="str">
        <f>_xlfn.XLOOKUP(TABLE1[[#This Row],[staff_id]], Table2[Personnel Number], Table2[Name])</f>
        <v xml:space="preserve">Phary SIN </v>
      </c>
      <c r="K83" t="str">
        <f>_xlfn.XLOOKUP(TABLE1[[#This Row],[staff_id]], Table2[Personnel Number], Table2[Branch])</f>
        <v>Noromall</v>
      </c>
    </row>
    <row r="84" spans="1:11" hidden="1" x14ac:dyDescent="0.35">
      <c r="A84">
        <v>3334868328</v>
      </c>
      <c r="B84" s="1">
        <v>46157.60664351852</v>
      </c>
      <c r="C84" t="s">
        <v>158</v>
      </c>
      <c r="D84">
        <v>93655664</v>
      </c>
      <c r="E84">
        <v>90024876</v>
      </c>
      <c r="F84">
        <v>90024876</v>
      </c>
      <c r="G84" t="s">
        <v>11</v>
      </c>
      <c r="H84" t="s">
        <v>18</v>
      </c>
      <c r="I84" t="s">
        <v>157</v>
      </c>
      <c r="J84" t="str">
        <f>_xlfn.XLOOKUP(TABLE1[[#This Row],[staff_id]], Table2[Personnel Number], Table2[Name])</f>
        <v xml:space="preserve">Phary SIN </v>
      </c>
      <c r="K84" t="str">
        <f>_xlfn.XLOOKUP(TABLE1[[#This Row],[staff_id]], Table2[Personnel Number], Table2[Branch])</f>
        <v>Noromall</v>
      </c>
    </row>
    <row r="85" spans="1:11" hidden="1" x14ac:dyDescent="0.35">
      <c r="A85">
        <v>3410923427</v>
      </c>
      <c r="B85" s="1">
        <v>46157.607060185182</v>
      </c>
      <c r="C85" t="s">
        <v>159</v>
      </c>
      <c r="D85">
        <v>10522762</v>
      </c>
      <c r="E85">
        <v>90017535</v>
      </c>
      <c r="F85" t="s">
        <v>94</v>
      </c>
      <c r="G85" t="s">
        <v>11</v>
      </c>
      <c r="H85" t="s">
        <v>83</v>
      </c>
      <c r="I85" t="s">
        <v>160</v>
      </c>
      <c r="J85" t="str">
        <f>_xlfn.XLOOKUP(TABLE1[[#This Row],[staff_id]], Table2[Personnel Number], Table2[Name])</f>
        <v>Sreyleak HENG</v>
      </c>
      <c r="K85" t="str">
        <f>_xlfn.XLOOKUP(TABLE1[[#This Row],[staff_id]], Table2[Personnel Number], Table2[Branch])</f>
        <v>Phsar DermThkov</v>
      </c>
    </row>
    <row r="86" spans="1:11" hidden="1" x14ac:dyDescent="0.35">
      <c r="A86">
        <v>3535182976</v>
      </c>
      <c r="B86" s="1">
        <v>46157.608043981483</v>
      </c>
      <c r="C86" t="s">
        <v>161</v>
      </c>
      <c r="D86">
        <v>95846600</v>
      </c>
      <c r="E86">
        <v>90024876</v>
      </c>
      <c r="F86">
        <v>90024876</v>
      </c>
      <c r="G86" t="s">
        <v>50</v>
      </c>
      <c r="H86" t="s">
        <v>18</v>
      </c>
      <c r="I86" t="s">
        <v>162</v>
      </c>
      <c r="J86" t="str">
        <f>_xlfn.XLOOKUP(TABLE1[[#This Row],[staff_id]], Table2[Personnel Number], Table2[Name])</f>
        <v xml:space="preserve">Phary SIN </v>
      </c>
      <c r="K86" t="str">
        <f>_xlfn.XLOOKUP(TABLE1[[#This Row],[staff_id]], Table2[Personnel Number], Table2[Branch])</f>
        <v>Noromall</v>
      </c>
    </row>
    <row r="87" spans="1:11" hidden="1" x14ac:dyDescent="0.35">
      <c r="A87">
        <v>3618878236</v>
      </c>
      <c r="B87" s="1">
        <v>46157.608541666668</v>
      </c>
      <c r="C87" t="s">
        <v>163</v>
      </c>
      <c r="D87">
        <v>88510645</v>
      </c>
      <c r="E87">
        <v>90024876</v>
      </c>
      <c r="F87">
        <v>90024876</v>
      </c>
      <c r="G87" t="s">
        <v>50</v>
      </c>
      <c r="H87" t="s">
        <v>18</v>
      </c>
      <c r="I87" t="s">
        <v>162</v>
      </c>
      <c r="J87" t="str">
        <f>_xlfn.XLOOKUP(TABLE1[[#This Row],[staff_id]], Table2[Personnel Number], Table2[Name])</f>
        <v xml:space="preserve">Phary SIN </v>
      </c>
      <c r="K87" t="str">
        <f>_xlfn.XLOOKUP(TABLE1[[#This Row],[staff_id]], Table2[Personnel Number], Table2[Branch])</f>
        <v>Noromall</v>
      </c>
    </row>
    <row r="88" spans="1:11" hidden="1" x14ac:dyDescent="0.35">
      <c r="A88">
        <v>3735801764</v>
      </c>
      <c r="B88" s="1">
        <v>46157.609432870369</v>
      </c>
      <c r="C88" t="s">
        <v>164</v>
      </c>
      <c r="D88">
        <v>965551498</v>
      </c>
      <c r="E88">
        <v>90017752</v>
      </c>
      <c r="F88" t="s">
        <v>120</v>
      </c>
      <c r="G88" t="s">
        <v>11</v>
      </c>
      <c r="H88" t="s">
        <v>18</v>
      </c>
      <c r="I88" t="s">
        <v>165</v>
      </c>
      <c r="J88" t="str">
        <f>_xlfn.XLOOKUP(TABLE1[[#This Row],[staff_id]], Table2[Personnel Number], Table2[Name])</f>
        <v>Chanthy VOUEN</v>
      </c>
      <c r="K88" t="str">
        <f>_xlfn.XLOOKUP(TABLE1[[#This Row],[staff_id]], Table2[Personnel Number], Table2[Branch])</f>
        <v>598 Mall</v>
      </c>
    </row>
    <row r="89" spans="1:11" hidden="1" x14ac:dyDescent="0.35">
      <c r="A89">
        <v>3811389426</v>
      </c>
      <c r="B89" s="1">
        <v>46157.609849537039</v>
      </c>
      <c r="C89" t="s">
        <v>166</v>
      </c>
      <c r="D89">
        <v>17711377</v>
      </c>
      <c r="E89">
        <v>90024876</v>
      </c>
      <c r="F89">
        <v>90024876</v>
      </c>
      <c r="G89" t="s">
        <v>50</v>
      </c>
      <c r="H89" t="s">
        <v>18</v>
      </c>
      <c r="I89" t="s">
        <v>167</v>
      </c>
      <c r="J89" t="str">
        <f>_xlfn.XLOOKUP(TABLE1[[#This Row],[staff_id]], Table2[Personnel Number], Table2[Name])</f>
        <v xml:space="preserve">Phary SIN </v>
      </c>
      <c r="K89" t="str">
        <f>_xlfn.XLOOKUP(TABLE1[[#This Row],[staff_id]], Table2[Personnel Number], Table2[Branch])</f>
        <v>Noromall</v>
      </c>
    </row>
    <row r="90" spans="1:11" hidden="1" x14ac:dyDescent="0.35">
      <c r="A90">
        <v>3927553976</v>
      </c>
      <c r="B90" s="1">
        <v>46157.610729166663</v>
      </c>
      <c r="C90" t="s">
        <v>168</v>
      </c>
      <c r="D90">
        <v>78700018</v>
      </c>
      <c r="E90">
        <v>90015358</v>
      </c>
      <c r="F90" t="s">
        <v>169</v>
      </c>
      <c r="G90" t="s">
        <v>11</v>
      </c>
      <c r="H90" t="s">
        <v>110</v>
      </c>
      <c r="I90" t="s">
        <v>170</v>
      </c>
      <c r="J90" t="str">
        <f>_xlfn.XLOOKUP(TABLE1[[#This Row],[staff_id]], Table2[Personnel Number], Table2[Name])</f>
        <v>Chanbormey MOTH</v>
      </c>
      <c r="K90" t="str">
        <f>_xlfn.XLOOKUP(TABLE1[[#This Row],[staff_id]], Table2[Personnel Number], Table2[Branch])</f>
        <v>598 mall</v>
      </c>
    </row>
    <row r="91" spans="1:11" hidden="1" x14ac:dyDescent="0.35">
      <c r="A91">
        <v>4011795945</v>
      </c>
      <c r="B91" s="1">
        <v>46157.611238425918</v>
      </c>
      <c r="C91" t="s">
        <v>171</v>
      </c>
      <c r="D91">
        <v>964567777</v>
      </c>
      <c r="E91">
        <v>90015358</v>
      </c>
      <c r="F91" t="s">
        <v>169</v>
      </c>
      <c r="G91" t="s">
        <v>11</v>
      </c>
      <c r="H91" t="s">
        <v>110</v>
      </c>
      <c r="I91" t="s">
        <v>170</v>
      </c>
      <c r="J91" t="str">
        <f>_xlfn.XLOOKUP(TABLE1[[#This Row],[staff_id]], Table2[Personnel Number], Table2[Name])</f>
        <v>Chanbormey MOTH</v>
      </c>
      <c r="K91" t="str">
        <f>_xlfn.XLOOKUP(TABLE1[[#This Row],[staff_id]], Table2[Personnel Number], Table2[Branch])</f>
        <v>598 mall</v>
      </c>
    </row>
    <row r="92" spans="1:11" hidden="1" x14ac:dyDescent="0.35">
      <c r="A92">
        <v>4040497981</v>
      </c>
      <c r="B92" s="1">
        <v>46157.611574074072</v>
      </c>
      <c r="C92" t="s">
        <v>172</v>
      </c>
      <c r="D92">
        <v>87242445</v>
      </c>
      <c r="E92">
        <v>90024876</v>
      </c>
      <c r="F92">
        <v>90024876</v>
      </c>
      <c r="G92" t="s">
        <v>50</v>
      </c>
      <c r="H92" t="s">
        <v>18</v>
      </c>
      <c r="I92" t="s">
        <v>173</v>
      </c>
      <c r="J92" t="str">
        <f>_xlfn.XLOOKUP(TABLE1[[#This Row],[staff_id]], Table2[Personnel Number], Table2[Name])</f>
        <v xml:space="preserve">Phary SIN </v>
      </c>
      <c r="K92" t="str">
        <f>_xlfn.XLOOKUP(TABLE1[[#This Row],[staff_id]], Table2[Personnel Number], Table2[Branch])</f>
        <v>Noromall</v>
      </c>
    </row>
    <row r="93" spans="1:11" hidden="1" x14ac:dyDescent="0.35">
      <c r="A93">
        <v>4149880518</v>
      </c>
      <c r="B93" s="1">
        <v>46157.612372685187</v>
      </c>
      <c r="C93" t="s">
        <v>174</v>
      </c>
      <c r="D93">
        <v>967609987</v>
      </c>
      <c r="E93">
        <v>90024876</v>
      </c>
      <c r="F93">
        <v>90024876</v>
      </c>
      <c r="G93" t="s">
        <v>50</v>
      </c>
      <c r="H93" t="s">
        <v>18</v>
      </c>
      <c r="I93" t="s">
        <v>173</v>
      </c>
      <c r="J93" t="str">
        <f>_xlfn.XLOOKUP(TABLE1[[#This Row],[staff_id]], Table2[Personnel Number], Table2[Name])</f>
        <v xml:space="preserve">Phary SIN </v>
      </c>
      <c r="K93" t="str">
        <f>_xlfn.XLOOKUP(TABLE1[[#This Row],[staff_id]], Table2[Personnel Number], Table2[Branch])</f>
        <v>Noromall</v>
      </c>
    </row>
    <row r="94" spans="1:11" hidden="1" x14ac:dyDescent="0.35">
      <c r="A94">
        <v>4221421435</v>
      </c>
      <c r="B94" s="1">
        <v>46157.612743055557</v>
      </c>
      <c r="C94" t="s">
        <v>175</v>
      </c>
      <c r="D94">
        <v>86502333</v>
      </c>
      <c r="E94">
        <v>90015358</v>
      </c>
      <c r="F94" t="s">
        <v>169</v>
      </c>
      <c r="G94" t="s">
        <v>11</v>
      </c>
      <c r="H94" t="s">
        <v>110</v>
      </c>
      <c r="I94" t="s">
        <v>176</v>
      </c>
      <c r="J94" t="str">
        <f>_xlfn.XLOOKUP(TABLE1[[#This Row],[staff_id]], Table2[Personnel Number], Table2[Name])</f>
        <v>Chanbormey MOTH</v>
      </c>
      <c r="K94" t="str">
        <f>_xlfn.XLOOKUP(TABLE1[[#This Row],[staff_id]], Table2[Personnel Number], Table2[Branch])</f>
        <v>598 mall</v>
      </c>
    </row>
    <row r="95" spans="1:11" hidden="1" x14ac:dyDescent="0.35">
      <c r="A95">
        <v>4224293756</v>
      </c>
      <c r="B95" s="1">
        <v>46157.61277777778</v>
      </c>
      <c r="C95" t="s">
        <v>177</v>
      </c>
      <c r="D95">
        <v>98857288</v>
      </c>
      <c r="E95">
        <v>90024876</v>
      </c>
      <c r="F95">
        <v>90024876</v>
      </c>
      <c r="G95" t="s">
        <v>50</v>
      </c>
      <c r="H95" t="s">
        <v>18</v>
      </c>
      <c r="I95" t="s">
        <v>173</v>
      </c>
      <c r="J95" t="str">
        <f>_xlfn.XLOOKUP(TABLE1[[#This Row],[staff_id]], Table2[Personnel Number], Table2[Name])</f>
        <v xml:space="preserve">Phary SIN </v>
      </c>
      <c r="K95" t="str">
        <f>_xlfn.XLOOKUP(TABLE1[[#This Row],[staff_id]], Table2[Personnel Number], Table2[Branch])</f>
        <v>Noromall</v>
      </c>
    </row>
    <row r="96" spans="1:11" hidden="1" x14ac:dyDescent="0.35">
      <c r="A96">
        <v>4410379792</v>
      </c>
      <c r="B96" s="1">
        <v>46157.614004629628</v>
      </c>
      <c r="C96" t="s">
        <v>178</v>
      </c>
      <c r="D96">
        <v>87408701</v>
      </c>
      <c r="E96">
        <v>90021913</v>
      </c>
      <c r="F96" t="s">
        <v>101</v>
      </c>
      <c r="G96" t="s">
        <v>11</v>
      </c>
      <c r="H96" t="s">
        <v>12</v>
      </c>
      <c r="I96" t="s">
        <v>179</v>
      </c>
      <c r="J96" t="str">
        <f>_xlfn.XLOOKUP(TABLE1[[#This Row],[staff_id]], Table2[Personnel Number], Table2[Name])</f>
        <v>Dane NY</v>
      </c>
      <c r="K96" t="str">
        <f>_xlfn.XLOOKUP(TABLE1[[#This Row],[staff_id]], Table2[Personnel Number], Table2[Branch])</f>
        <v>Chip Mong Tower</v>
      </c>
    </row>
    <row r="97" spans="1:11" hidden="1" x14ac:dyDescent="0.35">
      <c r="A97">
        <v>4522237264</v>
      </c>
      <c r="B97" s="1">
        <v>46157.614837962959</v>
      </c>
      <c r="C97" t="s">
        <v>180</v>
      </c>
      <c r="D97">
        <v>10445189</v>
      </c>
      <c r="E97">
        <v>90021913</v>
      </c>
      <c r="F97" t="s">
        <v>101</v>
      </c>
      <c r="G97" t="s">
        <v>11</v>
      </c>
      <c r="H97" t="s">
        <v>12</v>
      </c>
      <c r="I97" t="s">
        <v>181</v>
      </c>
      <c r="J97" t="str">
        <f>_xlfn.XLOOKUP(TABLE1[[#This Row],[staff_id]], Table2[Personnel Number], Table2[Name])</f>
        <v>Dane NY</v>
      </c>
      <c r="K97" t="str">
        <f>_xlfn.XLOOKUP(TABLE1[[#This Row],[staff_id]], Table2[Personnel Number], Table2[Branch])</f>
        <v>Chip Mong Tower</v>
      </c>
    </row>
    <row r="98" spans="1:11" hidden="1" x14ac:dyDescent="0.35">
      <c r="A98">
        <v>4705374700</v>
      </c>
      <c r="B98" s="1">
        <v>46157.616030092591</v>
      </c>
      <c r="C98" t="s">
        <v>182</v>
      </c>
      <c r="D98">
        <v>12321742</v>
      </c>
      <c r="E98">
        <v>90024589</v>
      </c>
      <c r="F98">
        <v>90024589</v>
      </c>
      <c r="G98" t="s">
        <v>11</v>
      </c>
      <c r="H98" t="s">
        <v>110</v>
      </c>
      <c r="I98" t="s">
        <v>183</v>
      </c>
      <c r="J98" t="str">
        <f>_xlfn.XLOOKUP(TABLE1[[#This Row],[staff_id]], Table2[Personnel Number], Table2[Name])</f>
        <v>Nika LOT</v>
      </c>
      <c r="K98" t="str">
        <f>_xlfn.XLOOKUP(TABLE1[[#This Row],[staff_id]], Table2[Personnel Number], Table2[Branch])</f>
        <v>598 Mall</v>
      </c>
    </row>
    <row r="99" spans="1:11" hidden="1" x14ac:dyDescent="0.35">
      <c r="A99">
        <v>4719507786</v>
      </c>
      <c r="B99" s="1">
        <v>46157.61619212963</v>
      </c>
      <c r="C99" t="s">
        <v>184</v>
      </c>
      <c r="D99">
        <v>98234243</v>
      </c>
      <c r="E99">
        <v>90021913</v>
      </c>
      <c r="F99" t="s">
        <v>101</v>
      </c>
      <c r="G99" t="s">
        <v>11</v>
      </c>
      <c r="H99" t="s">
        <v>18</v>
      </c>
      <c r="I99" t="s">
        <v>185</v>
      </c>
      <c r="J99" t="str">
        <f>_xlfn.XLOOKUP(TABLE1[[#This Row],[staff_id]], Table2[Personnel Number], Table2[Name])</f>
        <v>Dane NY</v>
      </c>
      <c r="K99" t="str">
        <f>_xlfn.XLOOKUP(TABLE1[[#This Row],[staff_id]], Table2[Personnel Number], Table2[Branch])</f>
        <v>Chip Mong Tower</v>
      </c>
    </row>
    <row r="100" spans="1:11" hidden="1" x14ac:dyDescent="0.35">
      <c r="A100">
        <v>5106135991</v>
      </c>
      <c r="B100" s="1">
        <v>46157.618819444448</v>
      </c>
      <c r="C100" t="s">
        <v>186</v>
      </c>
      <c r="D100">
        <v>69777930</v>
      </c>
      <c r="E100">
        <v>90021913</v>
      </c>
      <c r="F100" t="s">
        <v>101</v>
      </c>
      <c r="G100" t="s">
        <v>11</v>
      </c>
      <c r="H100" t="s">
        <v>18</v>
      </c>
      <c r="I100" t="s">
        <v>185</v>
      </c>
      <c r="J100" t="str">
        <f>_xlfn.XLOOKUP(TABLE1[[#This Row],[staff_id]], Table2[Personnel Number], Table2[Name])</f>
        <v>Dane NY</v>
      </c>
      <c r="K100" t="str">
        <f>_xlfn.XLOOKUP(TABLE1[[#This Row],[staff_id]], Table2[Personnel Number], Table2[Branch])</f>
        <v>Chip Mong Tower</v>
      </c>
    </row>
    <row r="101" spans="1:11" hidden="1" x14ac:dyDescent="0.35">
      <c r="A101">
        <v>5114943421</v>
      </c>
      <c r="B101" s="1">
        <v>46157.61891203704</v>
      </c>
      <c r="C101" t="s">
        <v>186</v>
      </c>
      <c r="D101">
        <v>69777930</v>
      </c>
      <c r="E101">
        <v>90021913</v>
      </c>
      <c r="F101" t="s">
        <v>101</v>
      </c>
      <c r="G101" t="s">
        <v>11</v>
      </c>
      <c r="H101" t="s">
        <v>18</v>
      </c>
      <c r="I101" t="s">
        <v>185</v>
      </c>
      <c r="J101" t="str">
        <f>_xlfn.XLOOKUP(TABLE1[[#This Row],[staff_id]], Table2[Personnel Number], Table2[Name])</f>
        <v>Dane NY</v>
      </c>
      <c r="K101" t="str">
        <f>_xlfn.XLOOKUP(TABLE1[[#This Row],[staff_id]], Table2[Personnel Number], Table2[Branch])</f>
        <v>Chip Mong Tower</v>
      </c>
    </row>
    <row r="102" spans="1:11" hidden="1" x14ac:dyDescent="0.35">
      <c r="A102">
        <v>5159469954</v>
      </c>
      <c r="B102" s="1">
        <v>46157.619432870371</v>
      </c>
      <c r="C102" t="s">
        <v>187</v>
      </c>
      <c r="D102">
        <v>11222297</v>
      </c>
      <c r="E102">
        <v>90024589</v>
      </c>
      <c r="F102">
        <v>90024589</v>
      </c>
      <c r="G102" t="s">
        <v>11</v>
      </c>
      <c r="H102" t="s">
        <v>81</v>
      </c>
      <c r="I102" t="s">
        <v>188</v>
      </c>
      <c r="J102" t="str">
        <f>_xlfn.XLOOKUP(TABLE1[[#This Row],[staff_id]], Table2[Personnel Number], Table2[Name])</f>
        <v>Nika LOT</v>
      </c>
      <c r="K102" t="str">
        <f>_xlfn.XLOOKUP(TABLE1[[#This Row],[staff_id]], Table2[Personnel Number], Table2[Branch])</f>
        <v>598 Mall</v>
      </c>
    </row>
    <row r="103" spans="1:11" hidden="1" x14ac:dyDescent="0.35">
      <c r="A103">
        <v>111158338</v>
      </c>
      <c r="B103" s="1">
        <v>46157.625821759262</v>
      </c>
      <c r="C103" t="s">
        <v>189</v>
      </c>
      <c r="D103">
        <v>10667775</v>
      </c>
      <c r="E103">
        <v>90024589</v>
      </c>
      <c r="F103">
        <v>90024589</v>
      </c>
      <c r="G103" t="s">
        <v>11</v>
      </c>
      <c r="H103" t="s">
        <v>110</v>
      </c>
      <c r="I103" t="s">
        <v>190</v>
      </c>
      <c r="J103" t="str">
        <f>_xlfn.XLOOKUP(TABLE1[[#This Row],[staff_id]], Table2[Personnel Number], Table2[Name])</f>
        <v>Nika LOT</v>
      </c>
      <c r="K103" t="str">
        <f>_xlfn.XLOOKUP(TABLE1[[#This Row],[staff_id]], Table2[Personnel Number], Table2[Branch])</f>
        <v>598 Mall</v>
      </c>
    </row>
    <row r="104" spans="1:11" hidden="1" x14ac:dyDescent="0.35">
      <c r="A104">
        <v>124769921</v>
      </c>
      <c r="B104" s="1">
        <v>46157.625972222217</v>
      </c>
      <c r="C104" t="s">
        <v>191</v>
      </c>
      <c r="D104">
        <v>67776886</v>
      </c>
      <c r="E104">
        <v>90017752</v>
      </c>
      <c r="F104" t="s">
        <v>120</v>
      </c>
      <c r="G104" t="s">
        <v>50</v>
      </c>
      <c r="H104" t="s">
        <v>83</v>
      </c>
      <c r="J104" t="str">
        <f>_xlfn.XLOOKUP(TABLE1[[#This Row],[staff_id]], Table2[Personnel Number], Table2[Name])</f>
        <v>Chanthy VOUEN</v>
      </c>
      <c r="K104" t="str">
        <f>_xlfn.XLOOKUP(TABLE1[[#This Row],[staff_id]], Table2[Personnel Number], Table2[Branch])</f>
        <v>598 Mall</v>
      </c>
    </row>
    <row r="105" spans="1:11" hidden="1" x14ac:dyDescent="0.35">
      <c r="A105">
        <v>207513212</v>
      </c>
      <c r="B105" s="1">
        <v>46157.626469907409</v>
      </c>
      <c r="C105" t="s">
        <v>192</v>
      </c>
      <c r="D105">
        <v>969961310</v>
      </c>
      <c r="E105">
        <v>90025316</v>
      </c>
      <c r="F105">
        <v>90025316</v>
      </c>
      <c r="G105" t="s">
        <v>11</v>
      </c>
      <c r="H105" t="s">
        <v>18</v>
      </c>
      <c r="I105" t="s">
        <v>193</v>
      </c>
      <c r="J105" t="str">
        <f>_xlfn.XLOOKUP(TABLE1[[#This Row],[staff_id]], Table2[Personnel Number], Table2[Name])</f>
        <v>Soksomavatey SIV</v>
      </c>
      <c r="K105" t="str">
        <f>_xlfn.XLOOKUP(TABLE1[[#This Row],[staff_id]], Table2[Personnel Number], Table2[Branch])</f>
        <v>Mao Tse Toung</v>
      </c>
    </row>
    <row r="106" spans="1:11" hidden="1" x14ac:dyDescent="0.35">
      <c r="A106">
        <v>314346210</v>
      </c>
      <c r="B106" s="1">
        <v>46157.627245370371</v>
      </c>
      <c r="C106" t="s">
        <v>194</v>
      </c>
      <c r="D106">
        <v>11593496</v>
      </c>
      <c r="E106">
        <v>90021900</v>
      </c>
      <c r="F106" t="s">
        <v>195</v>
      </c>
      <c r="G106" t="s">
        <v>11</v>
      </c>
      <c r="H106" t="s">
        <v>81</v>
      </c>
      <c r="I106" t="s">
        <v>196</v>
      </c>
      <c r="J106" t="str">
        <f>_xlfn.XLOOKUP(TABLE1[[#This Row],[staff_id]], Table2[Personnel Number], Table2[Name])</f>
        <v>Rosenika ENG</v>
      </c>
      <c r="K106" t="str">
        <f>_xlfn.XLOOKUP(TABLE1[[#This Row],[staff_id]], Table2[Personnel Number], Table2[Branch])</f>
        <v>Mao Tse Toung</v>
      </c>
    </row>
    <row r="107" spans="1:11" hidden="1" x14ac:dyDescent="0.35">
      <c r="A107">
        <v>321424366</v>
      </c>
      <c r="B107" s="1">
        <v>46157.627326388887</v>
      </c>
      <c r="C107" t="s">
        <v>194</v>
      </c>
      <c r="D107">
        <v>11593496</v>
      </c>
      <c r="E107">
        <v>90021900</v>
      </c>
      <c r="F107" t="s">
        <v>195</v>
      </c>
      <c r="G107" t="s">
        <v>11</v>
      </c>
      <c r="H107" t="s">
        <v>81</v>
      </c>
      <c r="I107" t="s">
        <v>196</v>
      </c>
      <c r="J107" t="str">
        <f>_xlfn.XLOOKUP(TABLE1[[#This Row],[staff_id]], Table2[Personnel Number], Table2[Name])</f>
        <v>Rosenika ENG</v>
      </c>
      <c r="K107" t="str">
        <f>_xlfn.XLOOKUP(TABLE1[[#This Row],[staff_id]], Table2[Personnel Number], Table2[Branch])</f>
        <v>Mao Tse Toung</v>
      </c>
    </row>
    <row r="108" spans="1:11" hidden="1" x14ac:dyDescent="0.35">
      <c r="A108">
        <v>625576025</v>
      </c>
      <c r="B108" s="1">
        <v>46157.62945601852</v>
      </c>
      <c r="C108" t="s">
        <v>197</v>
      </c>
      <c r="D108">
        <v>12882474</v>
      </c>
      <c r="E108">
        <v>90017752</v>
      </c>
      <c r="F108" t="s">
        <v>120</v>
      </c>
      <c r="G108" t="s">
        <v>11</v>
      </c>
      <c r="H108" t="s">
        <v>83</v>
      </c>
      <c r="I108" t="s">
        <v>198</v>
      </c>
      <c r="J108" t="str">
        <f>_xlfn.XLOOKUP(TABLE1[[#This Row],[staff_id]], Table2[Personnel Number], Table2[Name])</f>
        <v>Chanthy VOUEN</v>
      </c>
      <c r="K108" t="str">
        <f>_xlfn.XLOOKUP(TABLE1[[#This Row],[staff_id]], Table2[Personnel Number], Table2[Branch])</f>
        <v>598 Mall</v>
      </c>
    </row>
    <row r="109" spans="1:11" hidden="1" x14ac:dyDescent="0.35">
      <c r="A109">
        <v>659502019</v>
      </c>
      <c r="B109" s="1">
        <v>46157.629849537043</v>
      </c>
      <c r="C109" t="s">
        <v>199</v>
      </c>
      <c r="D109">
        <v>978460543</v>
      </c>
      <c r="E109">
        <v>90025316</v>
      </c>
      <c r="F109">
        <v>90025316</v>
      </c>
      <c r="G109" t="s">
        <v>11</v>
      </c>
      <c r="H109" t="s">
        <v>18</v>
      </c>
      <c r="I109" t="s">
        <v>200</v>
      </c>
      <c r="J109" t="str">
        <f>_xlfn.XLOOKUP(TABLE1[[#This Row],[staff_id]], Table2[Personnel Number], Table2[Name])</f>
        <v>Soksomavatey SIV</v>
      </c>
      <c r="K109" t="str">
        <f>_xlfn.XLOOKUP(TABLE1[[#This Row],[staff_id]], Table2[Personnel Number], Table2[Branch])</f>
        <v>Mao Tse Toung</v>
      </c>
    </row>
    <row r="110" spans="1:11" hidden="1" x14ac:dyDescent="0.35">
      <c r="A110">
        <v>1001902791</v>
      </c>
      <c r="B110" s="1">
        <v>46157.631956018522</v>
      </c>
      <c r="C110" t="s">
        <v>201</v>
      </c>
      <c r="D110">
        <v>968189665</v>
      </c>
      <c r="E110">
        <v>90025316</v>
      </c>
      <c r="F110">
        <v>90025316</v>
      </c>
      <c r="G110" t="s">
        <v>50</v>
      </c>
      <c r="H110" t="s">
        <v>18</v>
      </c>
      <c r="J110" t="str">
        <f>_xlfn.XLOOKUP(TABLE1[[#This Row],[staff_id]], Table2[Personnel Number], Table2[Name])</f>
        <v>Soksomavatey SIV</v>
      </c>
      <c r="K110" t="str">
        <f>_xlfn.XLOOKUP(TABLE1[[#This Row],[staff_id]], Table2[Personnel Number], Table2[Branch])</f>
        <v>Mao Tse Toung</v>
      </c>
    </row>
    <row r="111" spans="1:11" hidden="1" x14ac:dyDescent="0.35">
      <c r="A111">
        <v>1256179894</v>
      </c>
      <c r="B111" s="1">
        <v>46157.633981481478</v>
      </c>
      <c r="C111" t="s">
        <v>202</v>
      </c>
      <c r="D111">
        <v>98525500</v>
      </c>
      <c r="E111">
        <v>90017752</v>
      </c>
      <c r="F111" t="s">
        <v>120</v>
      </c>
      <c r="G111" t="s">
        <v>11</v>
      </c>
      <c r="H111" t="s">
        <v>83</v>
      </c>
      <c r="I111" t="s">
        <v>203</v>
      </c>
      <c r="J111" t="str">
        <f>_xlfn.XLOOKUP(TABLE1[[#This Row],[staff_id]], Table2[Personnel Number], Table2[Name])</f>
        <v>Chanthy VOUEN</v>
      </c>
      <c r="K111" t="str">
        <f>_xlfn.XLOOKUP(TABLE1[[#This Row],[staff_id]], Table2[Personnel Number], Table2[Branch])</f>
        <v>598 Mall</v>
      </c>
    </row>
    <row r="112" spans="1:11" hidden="1" x14ac:dyDescent="0.35">
      <c r="A112">
        <v>1715409747</v>
      </c>
      <c r="B112" s="1">
        <v>46157.636979166673</v>
      </c>
      <c r="C112" t="s">
        <v>204</v>
      </c>
      <c r="D112">
        <v>85866090</v>
      </c>
      <c r="E112">
        <v>90024772</v>
      </c>
      <c r="F112" t="s">
        <v>205</v>
      </c>
      <c r="G112" t="s">
        <v>11</v>
      </c>
      <c r="H112" t="s">
        <v>83</v>
      </c>
      <c r="I112" t="s">
        <v>206</v>
      </c>
      <c r="J112" t="str">
        <f>_xlfn.XLOOKUP(TABLE1[[#This Row],[staff_id]], Table2[Personnel Number], Table2[Name])</f>
        <v xml:space="preserve">Sreyoun KEO </v>
      </c>
      <c r="K112" t="str">
        <f>_xlfn.XLOOKUP(TABLE1[[#This Row],[staff_id]], Table2[Personnel Number], Table2[Branch])</f>
        <v>Phsar DermThkov</v>
      </c>
    </row>
    <row r="113" spans="1:11" hidden="1" x14ac:dyDescent="0.35">
      <c r="A113">
        <v>2554908158</v>
      </c>
      <c r="B113" s="1">
        <v>46157.64298611111</v>
      </c>
      <c r="C113" t="s">
        <v>207</v>
      </c>
      <c r="D113">
        <v>90731511</v>
      </c>
      <c r="E113">
        <v>90025516</v>
      </c>
      <c r="F113">
        <v>90025516</v>
      </c>
      <c r="G113" t="s">
        <v>11</v>
      </c>
      <c r="H113" t="s">
        <v>18</v>
      </c>
      <c r="I113" t="s">
        <v>208</v>
      </c>
      <c r="J113" t="str">
        <f>_xlfn.XLOOKUP(TABLE1[[#This Row],[staff_id]], Table2[Personnel Number], Table2[Name])</f>
        <v>Porpor KANG</v>
      </c>
      <c r="K113" t="str">
        <f>_xlfn.XLOOKUP(TABLE1[[#This Row],[staff_id]], Table2[Personnel Number], Table2[Branch])</f>
        <v>Mao Tse Toung</v>
      </c>
    </row>
    <row r="114" spans="1:11" hidden="1" x14ac:dyDescent="0.35">
      <c r="A114">
        <v>2652161887</v>
      </c>
      <c r="B114" s="1">
        <v>46157.643657407411</v>
      </c>
      <c r="C114" t="s">
        <v>209</v>
      </c>
      <c r="D114">
        <v>70217152</v>
      </c>
      <c r="E114">
        <v>90025516</v>
      </c>
      <c r="F114">
        <v>90025516</v>
      </c>
      <c r="G114" t="s">
        <v>11</v>
      </c>
      <c r="H114" t="s">
        <v>83</v>
      </c>
      <c r="I114" t="s">
        <v>210</v>
      </c>
      <c r="J114" t="str">
        <f>_xlfn.XLOOKUP(TABLE1[[#This Row],[staff_id]], Table2[Personnel Number], Table2[Name])</f>
        <v>Porpor KANG</v>
      </c>
      <c r="K114" t="str">
        <f>_xlfn.XLOOKUP(TABLE1[[#This Row],[staff_id]], Table2[Personnel Number], Table2[Branch])</f>
        <v>Mao Tse Toung</v>
      </c>
    </row>
    <row r="115" spans="1:11" hidden="1" x14ac:dyDescent="0.35">
      <c r="A115">
        <v>2822473306</v>
      </c>
      <c r="B115" s="1">
        <v>46157.644699074073</v>
      </c>
      <c r="C115" t="s">
        <v>211</v>
      </c>
      <c r="D115">
        <v>965116201</v>
      </c>
      <c r="E115">
        <v>90025516</v>
      </c>
      <c r="F115">
        <v>90025516</v>
      </c>
      <c r="G115" t="s">
        <v>11</v>
      </c>
      <c r="H115" t="s">
        <v>18</v>
      </c>
      <c r="I115" t="s">
        <v>212</v>
      </c>
      <c r="J115" t="str">
        <f>_xlfn.XLOOKUP(TABLE1[[#This Row],[staff_id]], Table2[Personnel Number], Table2[Name])</f>
        <v>Porpor KANG</v>
      </c>
      <c r="K115" t="str">
        <f>_xlfn.XLOOKUP(TABLE1[[#This Row],[staff_id]], Table2[Personnel Number], Table2[Branch])</f>
        <v>Mao Tse Toung</v>
      </c>
    </row>
    <row r="116" spans="1:11" hidden="1" x14ac:dyDescent="0.35">
      <c r="A116">
        <v>3359952156</v>
      </c>
      <c r="B116" s="1">
        <v>46157.648599537039</v>
      </c>
      <c r="C116" t="s">
        <v>213</v>
      </c>
      <c r="D116">
        <v>972046789</v>
      </c>
      <c r="E116">
        <v>90016900</v>
      </c>
      <c r="F116" t="s">
        <v>214</v>
      </c>
      <c r="G116" t="s">
        <v>11</v>
      </c>
      <c r="H116" t="s">
        <v>18</v>
      </c>
      <c r="I116" t="s">
        <v>215</v>
      </c>
      <c r="J116" t="str">
        <f>_xlfn.XLOOKUP(TABLE1[[#This Row],[staff_id]], Table2[Personnel Number], Table2[Name])</f>
        <v>Pharin NOU</v>
      </c>
      <c r="K116" t="str">
        <f>_xlfn.XLOOKUP(TABLE1[[#This Row],[staff_id]], Table2[Personnel Number], Table2[Branch])</f>
        <v>598 mall</v>
      </c>
    </row>
    <row r="117" spans="1:11" hidden="1" x14ac:dyDescent="0.35">
      <c r="A117">
        <v>3427659219</v>
      </c>
      <c r="B117" s="1">
        <v>46157.648923611108</v>
      </c>
      <c r="C117" t="s">
        <v>213</v>
      </c>
      <c r="D117">
        <v>972046789</v>
      </c>
      <c r="E117">
        <v>90016900</v>
      </c>
      <c r="F117" t="s">
        <v>214</v>
      </c>
      <c r="G117" t="s">
        <v>11</v>
      </c>
      <c r="H117" t="s">
        <v>18</v>
      </c>
      <c r="I117" t="s">
        <v>215</v>
      </c>
      <c r="J117" t="str">
        <f>_xlfn.XLOOKUP(TABLE1[[#This Row],[staff_id]], Table2[Personnel Number], Table2[Name])</f>
        <v>Pharin NOU</v>
      </c>
      <c r="K117" t="str">
        <f>_xlfn.XLOOKUP(TABLE1[[#This Row],[staff_id]], Table2[Personnel Number], Table2[Branch])</f>
        <v>598 mall</v>
      </c>
    </row>
    <row r="118" spans="1:11" hidden="1" x14ac:dyDescent="0.35">
      <c r="A118">
        <v>3820017513</v>
      </c>
      <c r="B118" s="1">
        <v>46157.651620370372</v>
      </c>
      <c r="C118" t="s">
        <v>216</v>
      </c>
      <c r="D118">
        <v>95857777</v>
      </c>
      <c r="E118">
        <v>90016900</v>
      </c>
      <c r="F118" t="s">
        <v>214</v>
      </c>
      <c r="G118" t="s">
        <v>50</v>
      </c>
      <c r="H118" t="s">
        <v>18</v>
      </c>
      <c r="I118" t="s">
        <v>217</v>
      </c>
      <c r="J118" t="str">
        <f>_xlfn.XLOOKUP(TABLE1[[#This Row],[staff_id]], Table2[Personnel Number], Table2[Name])</f>
        <v>Pharin NOU</v>
      </c>
      <c r="K118" t="str">
        <f>_xlfn.XLOOKUP(TABLE1[[#This Row],[staff_id]], Table2[Personnel Number], Table2[Branch])</f>
        <v>598 mall</v>
      </c>
    </row>
    <row r="119" spans="1:11" hidden="1" x14ac:dyDescent="0.35">
      <c r="A119">
        <v>3924105243</v>
      </c>
      <c r="B119" s="1">
        <v>46157.652361111112</v>
      </c>
      <c r="C119" t="s">
        <v>218</v>
      </c>
      <c r="D119">
        <v>77255551</v>
      </c>
      <c r="E119">
        <v>90016900</v>
      </c>
      <c r="F119" t="s">
        <v>214</v>
      </c>
      <c r="G119" t="s">
        <v>50</v>
      </c>
      <c r="H119" t="s">
        <v>18</v>
      </c>
      <c r="I119" t="s">
        <v>217</v>
      </c>
      <c r="J119" t="str">
        <f>_xlfn.XLOOKUP(TABLE1[[#This Row],[staff_id]], Table2[Personnel Number], Table2[Name])</f>
        <v>Pharin NOU</v>
      </c>
      <c r="K119" t="str">
        <f>_xlfn.XLOOKUP(TABLE1[[#This Row],[staff_id]], Table2[Personnel Number], Table2[Branch])</f>
        <v>598 mall</v>
      </c>
    </row>
    <row r="120" spans="1:11" hidden="1" x14ac:dyDescent="0.35">
      <c r="A120">
        <v>4032635054</v>
      </c>
      <c r="B120" s="1">
        <v>46157.653148148151</v>
      </c>
      <c r="C120" t="s">
        <v>219</v>
      </c>
      <c r="D120">
        <v>883333556</v>
      </c>
      <c r="E120">
        <v>90016900</v>
      </c>
      <c r="F120" t="s">
        <v>214</v>
      </c>
      <c r="G120" t="s">
        <v>50</v>
      </c>
      <c r="H120" t="s">
        <v>18</v>
      </c>
      <c r="I120" t="s">
        <v>220</v>
      </c>
      <c r="J120" t="str">
        <f>_xlfn.XLOOKUP(TABLE1[[#This Row],[staff_id]], Table2[Personnel Number], Table2[Name])</f>
        <v>Pharin NOU</v>
      </c>
      <c r="K120" t="str">
        <f>_xlfn.XLOOKUP(TABLE1[[#This Row],[staff_id]], Table2[Personnel Number], Table2[Branch])</f>
        <v>598 mall</v>
      </c>
    </row>
    <row r="121" spans="1:11" hidden="1" x14ac:dyDescent="0.35">
      <c r="A121">
        <v>1341227376</v>
      </c>
      <c r="B121" s="1">
        <v>46157.676168981481</v>
      </c>
      <c r="C121" t="s">
        <v>221</v>
      </c>
      <c r="D121">
        <v>12378883</v>
      </c>
      <c r="E121">
        <v>90025461</v>
      </c>
      <c r="F121">
        <v>90025461</v>
      </c>
      <c r="G121" t="s">
        <v>11</v>
      </c>
      <c r="H121" t="s">
        <v>110</v>
      </c>
      <c r="I121" t="s">
        <v>222</v>
      </c>
      <c r="J121" t="str">
        <f>_xlfn.XLOOKUP(TABLE1[[#This Row],[staff_id]], Table2[Personnel Number], Table2[Name])</f>
        <v>Sotheary HUOV</v>
      </c>
      <c r="K121" t="str">
        <f>_xlfn.XLOOKUP(TABLE1[[#This Row],[staff_id]], Table2[Personnel Number], Table2[Branch])</f>
        <v>271 Mega Mall</v>
      </c>
    </row>
    <row r="122" spans="1:11" hidden="1" x14ac:dyDescent="0.35">
      <c r="A122">
        <v>1429269776</v>
      </c>
      <c r="B122" s="1">
        <v>46157.676724537043</v>
      </c>
      <c r="C122" t="s">
        <v>223</v>
      </c>
      <c r="D122">
        <v>93294546</v>
      </c>
      <c r="E122">
        <v>90025461</v>
      </c>
      <c r="F122">
        <v>90025461</v>
      </c>
      <c r="G122" t="s">
        <v>11</v>
      </c>
      <c r="H122" t="s">
        <v>110</v>
      </c>
      <c r="I122" t="s">
        <v>222</v>
      </c>
      <c r="J122" t="str">
        <f>_xlfn.XLOOKUP(TABLE1[[#This Row],[staff_id]], Table2[Personnel Number], Table2[Name])</f>
        <v>Sotheary HUOV</v>
      </c>
      <c r="K122" t="str">
        <f>_xlfn.XLOOKUP(TABLE1[[#This Row],[staff_id]], Table2[Personnel Number], Table2[Branch])</f>
        <v>271 Mega Mall</v>
      </c>
    </row>
    <row r="123" spans="1:11" hidden="1" x14ac:dyDescent="0.35">
      <c r="A123">
        <v>1525470477</v>
      </c>
      <c r="B123" s="1">
        <v>46157.677372685182</v>
      </c>
      <c r="C123" t="s">
        <v>224</v>
      </c>
      <c r="D123">
        <v>12956666</v>
      </c>
      <c r="E123">
        <v>90025461</v>
      </c>
      <c r="F123">
        <v>90025461</v>
      </c>
      <c r="G123" t="s">
        <v>11</v>
      </c>
      <c r="H123" t="s">
        <v>110</v>
      </c>
      <c r="I123" t="s">
        <v>222</v>
      </c>
      <c r="J123" t="str">
        <f>_xlfn.XLOOKUP(TABLE1[[#This Row],[staff_id]], Table2[Personnel Number], Table2[Name])</f>
        <v>Sotheary HUOV</v>
      </c>
      <c r="K123" t="str">
        <f>_xlfn.XLOOKUP(TABLE1[[#This Row],[staff_id]], Table2[Personnel Number], Table2[Branch])</f>
        <v>271 Mega Mall</v>
      </c>
    </row>
    <row r="124" spans="1:11" hidden="1" x14ac:dyDescent="0.35">
      <c r="A124">
        <v>2754694821</v>
      </c>
      <c r="B124" s="1">
        <v>46157.686041666668</v>
      </c>
      <c r="C124" t="s">
        <v>225</v>
      </c>
      <c r="D124">
        <v>87951931</v>
      </c>
      <c r="E124">
        <v>90025461</v>
      </c>
      <c r="F124">
        <v>90025461</v>
      </c>
      <c r="G124" t="s">
        <v>50</v>
      </c>
      <c r="H124" t="s">
        <v>110</v>
      </c>
      <c r="I124" t="s">
        <v>222</v>
      </c>
      <c r="J124" t="str">
        <f>_xlfn.XLOOKUP(TABLE1[[#This Row],[staff_id]], Table2[Personnel Number], Table2[Name])</f>
        <v>Sotheary HUOV</v>
      </c>
      <c r="K124" t="str">
        <f>_xlfn.XLOOKUP(TABLE1[[#This Row],[staff_id]], Table2[Personnel Number], Table2[Branch])</f>
        <v>271 Mega Mall</v>
      </c>
    </row>
    <row r="125" spans="1:11" hidden="1" x14ac:dyDescent="0.35">
      <c r="A125">
        <v>2911716910</v>
      </c>
      <c r="B125" s="1">
        <v>46157.686932870369</v>
      </c>
      <c r="C125" t="s">
        <v>226</v>
      </c>
      <c r="D125">
        <v>10992121</v>
      </c>
      <c r="E125">
        <v>90025461</v>
      </c>
      <c r="F125">
        <v>90025461</v>
      </c>
      <c r="G125" t="s">
        <v>50</v>
      </c>
      <c r="H125" t="s">
        <v>110</v>
      </c>
      <c r="I125" t="s">
        <v>222</v>
      </c>
      <c r="J125" t="str">
        <f>_xlfn.XLOOKUP(TABLE1[[#This Row],[staff_id]], Table2[Personnel Number], Table2[Name])</f>
        <v>Sotheary HUOV</v>
      </c>
      <c r="K125" t="str">
        <f>_xlfn.XLOOKUP(TABLE1[[#This Row],[staff_id]], Table2[Personnel Number], Table2[Branch])</f>
        <v>271 Mega Mall</v>
      </c>
    </row>
    <row r="126" spans="1:11" hidden="1" x14ac:dyDescent="0.35">
      <c r="A126">
        <v>2937962991</v>
      </c>
      <c r="B126" s="1">
        <v>46157.6872337963</v>
      </c>
      <c r="C126" t="s">
        <v>227</v>
      </c>
      <c r="D126">
        <v>12662993</v>
      </c>
      <c r="E126">
        <v>90025461</v>
      </c>
      <c r="F126">
        <v>90025461</v>
      </c>
      <c r="G126" t="s">
        <v>11</v>
      </c>
      <c r="H126" t="s">
        <v>110</v>
      </c>
      <c r="I126" t="s">
        <v>222</v>
      </c>
      <c r="J126" t="str">
        <f>_xlfn.XLOOKUP(TABLE1[[#This Row],[staff_id]], Table2[Personnel Number], Table2[Name])</f>
        <v>Sotheary HUOV</v>
      </c>
      <c r="K126" t="str">
        <f>_xlfn.XLOOKUP(TABLE1[[#This Row],[staff_id]], Table2[Personnel Number], Table2[Branch])</f>
        <v>271 Mega Mall</v>
      </c>
    </row>
    <row r="127" spans="1:11" hidden="1" x14ac:dyDescent="0.35">
      <c r="A127">
        <v>4110482384</v>
      </c>
      <c r="B127" s="1">
        <v>46157.695254629631</v>
      </c>
      <c r="C127" t="s">
        <v>228</v>
      </c>
      <c r="D127">
        <v>78699299</v>
      </c>
      <c r="E127">
        <v>90025461</v>
      </c>
      <c r="F127">
        <v>90025461</v>
      </c>
      <c r="G127" t="s">
        <v>11</v>
      </c>
      <c r="H127" t="s">
        <v>110</v>
      </c>
      <c r="I127" t="s">
        <v>222</v>
      </c>
      <c r="J127" t="str">
        <f>_xlfn.XLOOKUP(TABLE1[[#This Row],[staff_id]], Table2[Personnel Number], Table2[Name])</f>
        <v>Sotheary HUOV</v>
      </c>
      <c r="K127" t="str">
        <f>_xlfn.XLOOKUP(TABLE1[[#This Row],[staff_id]], Table2[Personnel Number], Table2[Branch])</f>
        <v>271 Mega Mall</v>
      </c>
    </row>
    <row r="128" spans="1:11" hidden="1" x14ac:dyDescent="0.35">
      <c r="A128">
        <v>4152369492</v>
      </c>
      <c r="B128" s="1">
        <v>46157.695740740739</v>
      </c>
      <c r="C128" t="s">
        <v>229</v>
      </c>
      <c r="D128">
        <v>964399999</v>
      </c>
      <c r="E128">
        <v>90025461</v>
      </c>
      <c r="F128">
        <v>90025461</v>
      </c>
      <c r="G128" t="s">
        <v>11</v>
      </c>
      <c r="H128" t="s">
        <v>110</v>
      </c>
      <c r="I128" t="s">
        <v>222</v>
      </c>
      <c r="J128" t="str">
        <f>_xlfn.XLOOKUP(TABLE1[[#This Row],[staff_id]], Table2[Personnel Number], Table2[Name])</f>
        <v>Sotheary HUOV</v>
      </c>
      <c r="K128" t="str">
        <f>_xlfn.XLOOKUP(TABLE1[[#This Row],[staff_id]], Table2[Personnel Number], Table2[Branch])</f>
        <v>271 Mega Mall</v>
      </c>
    </row>
    <row r="129" spans="1:11" hidden="1" x14ac:dyDescent="0.35">
      <c r="A129">
        <v>4229960737</v>
      </c>
      <c r="B129" s="1">
        <v>46157.696168981478</v>
      </c>
      <c r="C129" t="s">
        <v>230</v>
      </c>
      <c r="D129">
        <v>717487666</v>
      </c>
      <c r="E129">
        <v>90025461</v>
      </c>
      <c r="F129">
        <v>90025461</v>
      </c>
      <c r="G129" t="s">
        <v>55</v>
      </c>
      <c r="H129" t="s">
        <v>110</v>
      </c>
      <c r="I129" t="s">
        <v>222</v>
      </c>
      <c r="J129" t="str">
        <f>_xlfn.XLOOKUP(TABLE1[[#This Row],[staff_id]], Table2[Personnel Number], Table2[Name])</f>
        <v>Sotheary HUOV</v>
      </c>
      <c r="K129" t="str">
        <f>_xlfn.XLOOKUP(TABLE1[[#This Row],[staff_id]], Table2[Personnel Number], Table2[Branch])</f>
        <v>271 Mega Mall</v>
      </c>
    </row>
    <row r="130" spans="1:11" hidden="1" x14ac:dyDescent="0.35">
      <c r="A130">
        <v>4329795462</v>
      </c>
      <c r="B130" s="1">
        <v>46157.696863425917</v>
      </c>
      <c r="C130" t="s">
        <v>231</v>
      </c>
      <c r="D130">
        <v>963845260</v>
      </c>
      <c r="E130">
        <v>90025461</v>
      </c>
      <c r="F130">
        <v>90025461</v>
      </c>
      <c r="G130" t="s">
        <v>11</v>
      </c>
      <c r="H130" t="s">
        <v>110</v>
      </c>
      <c r="I130" t="s">
        <v>222</v>
      </c>
      <c r="J130" t="str">
        <f>_xlfn.XLOOKUP(TABLE1[[#This Row],[staff_id]], Table2[Personnel Number], Table2[Name])</f>
        <v>Sotheary HUOV</v>
      </c>
      <c r="K130" t="str">
        <f>_xlfn.XLOOKUP(TABLE1[[#This Row],[staff_id]], Table2[Personnel Number], Table2[Branch])</f>
        <v>271 Mega Mall</v>
      </c>
    </row>
    <row r="131" spans="1:11" hidden="1" x14ac:dyDescent="0.35">
      <c r="A131">
        <v>4540438034</v>
      </c>
      <c r="B131" s="1">
        <v>46157.698379629634</v>
      </c>
      <c r="C131" t="s">
        <v>232</v>
      </c>
      <c r="D131">
        <v>17555975</v>
      </c>
      <c r="E131">
        <v>90025461</v>
      </c>
      <c r="F131">
        <v>90025461</v>
      </c>
      <c r="G131" t="s">
        <v>11</v>
      </c>
      <c r="H131" t="s">
        <v>110</v>
      </c>
      <c r="I131" t="s">
        <v>222</v>
      </c>
      <c r="J131" t="str">
        <f>_xlfn.XLOOKUP(TABLE1[[#This Row],[staff_id]], Table2[Personnel Number], Table2[Name])</f>
        <v>Sotheary HUOV</v>
      </c>
      <c r="K131" t="str">
        <f>_xlfn.XLOOKUP(TABLE1[[#This Row],[staff_id]], Table2[Personnel Number], Table2[Branch])</f>
        <v>271 Mega Mall</v>
      </c>
    </row>
    <row r="132" spans="1:11" hidden="1" x14ac:dyDescent="0.35">
      <c r="A132">
        <v>4611908811</v>
      </c>
      <c r="B132" s="1">
        <v>46157.698738425926</v>
      </c>
      <c r="C132" t="s">
        <v>233</v>
      </c>
      <c r="D132">
        <v>78481878</v>
      </c>
      <c r="E132">
        <v>90025461</v>
      </c>
      <c r="F132">
        <v>90025461</v>
      </c>
      <c r="G132" t="s">
        <v>11</v>
      </c>
      <c r="H132" t="s">
        <v>110</v>
      </c>
      <c r="I132" t="s">
        <v>222</v>
      </c>
      <c r="J132" t="str">
        <f>_xlfn.XLOOKUP(TABLE1[[#This Row],[staff_id]], Table2[Personnel Number], Table2[Name])</f>
        <v>Sotheary HUOV</v>
      </c>
      <c r="K132" t="str">
        <f>_xlfn.XLOOKUP(TABLE1[[#This Row],[staff_id]], Table2[Personnel Number], Table2[Branch])</f>
        <v>271 Mega Mall</v>
      </c>
    </row>
    <row r="133" spans="1:11" hidden="1" x14ac:dyDescent="0.35">
      <c r="A133">
        <v>4659424905</v>
      </c>
      <c r="B133" s="1">
        <v>46157.699293981481</v>
      </c>
      <c r="C133" t="s">
        <v>234</v>
      </c>
      <c r="D133">
        <v>12227725</v>
      </c>
      <c r="E133">
        <v>90025461</v>
      </c>
      <c r="F133">
        <v>90025461</v>
      </c>
      <c r="G133" t="s">
        <v>11</v>
      </c>
      <c r="H133" t="s">
        <v>110</v>
      </c>
      <c r="I133" t="s">
        <v>222</v>
      </c>
      <c r="J133" t="str">
        <f>_xlfn.XLOOKUP(TABLE1[[#This Row],[staff_id]], Table2[Personnel Number], Table2[Name])</f>
        <v>Sotheary HUOV</v>
      </c>
      <c r="K133" t="str">
        <f>_xlfn.XLOOKUP(TABLE1[[#This Row],[staff_id]], Table2[Personnel Number], Table2[Branch])</f>
        <v>271 Mega Mall</v>
      </c>
    </row>
    <row r="134" spans="1:11" hidden="1" x14ac:dyDescent="0.35">
      <c r="A134">
        <v>4754274901</v>
      </c>
      <c r="B134" s="1">
        <v>46157.699930555558</v>
      </c>
      <c r="C134" t="s">
        <v>235</v>
      </c>
      <c r="D134">
        <v>93226559</v>
      </c>
      <c r="E134">
        <v>90025461</v>
      </c>
      <c r="F134">
        <v>90025461</v>
      </c>
      <c r="G134" t="s">
        <v>50</v>
      </c>
      <c r="H134" t="s">
        <v>110</v>
      </c>
      <c r="I134" t="s">
        <v>222</v>
      </c>
      <c r="J134" t="str">
        <f>_xlfn.XLOOKUP(TABLE1[[#This Row],[staff_id]], Table2[Personnel Number], Table2[Name])</f>
        <v>Sotheary HUOV</v>
      </c>
      <c r="K134" t="str">
        <f>_xlfn.XLOOKUP(TABLE1[[#This Row],[staff_id]], Table2[Personnel Number], Table2[Branch])</f>
        <v>271 Mega Mall</v>
      </c>
    </row>
    <row r="135" spans="1:11" hidden="1" x14ac:dyDescent="0.35">
      <c r="A135">
        <v>4833888921</v>
      </c>
      <c r="B135" s="1">
        <v>46157.700381944444</v>
      </c>
      <c r="C135" t="s">
        <v>236</v>
      </c>
      <c r="D135">
        <v>92315315</v>
      </c>
      <c r="E135">
        <v>90025461</v>
      </c>
      <c r="F135">
        <v>90025461</v>
      </c>
      <c r="G135" t="s">
        <v>11</v>
      </c>
      <c r="H135" t="s">
        <v>110</v>
      </c>
      <c r="I135" t="s">
        <v>222</v>
      </c>
      <c r="J135" t="str">
        <f>_xlfn.XLOOKUP(TABLE1[[#This Row],[staff_id]], Table2[Personnel Number], Table2[Name])</f>
        <v>Sotheary HUOV</v>
      </c>
      <c r="K135" t="str">
        <f>_xlfn.XLOOKUP(TABLE1[[#This Row],[staff_id]], Table2[Personnel Number], Table2[Branch])</f>
        <v>271 Mega Mall</v>
      </c>
    </row>
    <row r="136" spans="1:11" hidden="1" x14ac:dyDescent="0.35">
      <c r="A136">
        <v>4922922552</v>
      </c>
      <c r="B136" s="1">
        <v>46157.700949074067</v>
      </c>
      <c r="C136" t="s">
        <v>237</v>
      </c>
      <c r="D136">
        <v>77772772</v>
      </c>
      <c r="E136">
        <v>90025461</v>
      </c>
      <c r="F136">
        <v>90025461</v>
      </c>
      <c r="G136" t="s">
        <v>11</v>
      </c>
      <c r="H136" t="s">
        <v>110</v>
      </c>
      <c r="I136" t="s">
        <v>222</v>
      </c>
      <c r="J136" t="str">
        <f>_xlfn.XLOOKUP(TABLE1[[#This Row],[staff_id]], Table2[Personnel Number], Table2[Name])</f>
        <v>Sotheary HUOV</v>
      </c>
      <c r="K136" t="str">
        <f>_xlfn.XLOOKUP(TABLE1[[#This Row],[staff_id]], Table2[Personnel Number], Table2[Branch])</f>
        <v>271 Mega Mall</v>
      </c>
    </row>
    <row r="137" spans="1:11" hidden="1" x14ac:dyDescent="0.35">
      <c r="A137">
        <v>5022922347</v>
      </c>
      <c r="B137" s="1">
        <v>46157.701643518521</v>
      </c>
      <c r="C137" t="s">
        <v>238</v>
      </c>
      <c r="D137">
        <v>87651504</v>
      </c>
      <c r="E137">
        <v>90025461</v>
      </c>
      <c r="F137">
        <v>90025461</v>
      </c>
      <c r="G137" t="s">
        <v>11</v>
      </c>
      <c r="H137" t="s">
        <v>110</v>
      </c>
      <c r="I137" t="s">
        <v>222</v>
      </c>
      <c r="J137" t="str">
        <f>_xlfn.XLOOKUP(TABLE1[[#This Row],[staff_id]], Table2[Personnel Number], Table2[Name])</f>
        <v>Sotheary HUOV</v>
      </c>
      <c r="K137" t="str">
        <f>_xlfn.XLOOKUP(TABLE1[[#This Row],[staff_id]], Table2[Personnel Number], Table2[Branch])</f>
        <v>271 Mega Mall</v>
      </c>
    </row>
    <row r="138" spans="1:11" hidden="1" x14ac:dyDescent="0.35">
      <c r="A138">
        <v>5056027359</v>
      </c>
      <c r="B138" s="1">
        <v>46157.702037037037</v>
      </c>
      <c r="C138" t="s">
        <v>239</v>
      </c>
      <c r="D138">
        <v>78997997</v>
      </c>
      <c r="E138">
        <v>90025461</v>
      </c>
      <c r="F138">
        <v>90025461</v>
      </c>
      <c r="G138" t="s">
        <v>11</v>
      </c>
      <c r="H138" t="s">
        <v>110</v>
      </c>
      <c r="I138" t="s">
        <v>222</v>
      </c>
      <c r="J138" t="str">
        <f>_xlfn.XLOOKUP(TABLE1[[#This Row],[staff_id]], Table2[Personnel Number], Table2[Name])</f>
        <v>Sotheary HUOV</v>
      </c>
      <c r="K138" t="str">
        <f>_xlfn.XLOOKUP(TABLE1[[#This Row],[staff_id]], Table2[Personnel Number], Table2[Branch])</f>
        <v>271 Mega Mall</v>
      </c>
    </row>
    <row r="139" spans="1:11" hidden="1" x14ac:dyDescent="0.35">
      <c r="A139">
        <v>5141885278</v>
      </c>
      <c r="B139" s="1">
        <v>46157.702557870369</v>
      </c>
      <c r="C139" t="s">
        <v>240</v>
      </c>
      <c r="D139">
        <v>17545527</v>
      </c>
      <c r="E139">
        <v>90025461</v>
      </c>
      <c r="F139">
        <v>90025461</v>
      </c>
      <c r="G139" t="s">
        <v>11</v>
      </c>
      <c r="H139" t="s">
        <v>110</v>
      </c>
      <c r="I139" t="s">
        <v>222</v>
      </c>
      <c r="J139" t="str">
        <f>_xlfn.XLOOKUP(TABLE1[[#This Row],[staff_id]], Table2[Personnel Number], Table2[Name])</f>
        <v>Sotheary HUOV</v>
      </c>
      <c r="K139" t="str">
        <f>_xlfn.XLOOKUP(TABLE1[[#This Row],[staff_id]], Table2[Personnel Number], Table2[Branch])</f>
        <v>271 Mega Mall</v>
      </c>
    </row>
    <row r="140" spans="1:11" hidden="1" x14ac:dyDescent="0.35">
      <c r="A140">
        <v>5216967017</v>
      </c>
      <c r="B140" s="1">
        <v>46157.702962962961</v>
      </c>
      <c r="C140" t="s">
        <v>241</v>
      </c>
      <c r="D140">
        <v>12938803</v>
      </c>
      <c r="E140">
        <v>90025461</v>
      </c>
      <c r="F140">
        <v>90025461</v>
      </c>
      <c r="G140" t="s">
        <v>11</v>
      </c>
      <c r="H140" t="s">
        <v>110</v>
      </c>
      <c r="I140" t="s">
        <v>222</v>
      </c>
      <c r="J140" t="str">
        <f>_xlfn.XLOOKUP(TABLE1[[#This Row],[staff_id]], Table2[Personnel Number], Table2[Name])</f>
        <v>Sotheary HUOV</v>
      </c>
      <c r="K140" t="str">
        <f>_xlfn.XLOOKUP(TABLE1[[#This Row],[staff_id]], Table2[Personnel Number], Table2[Branch])</f>
        <v>271 Mega Mall</v>
      </c>
    </row>
    <row r="141" spans="1:11" hidden="1" x14ac:dyDescent="0.35">
      <c r="A141">
        <v>5245872108</v>
      </c>
      <c r="B141" s="1">
        <v>46157.703298611108</v>
      </c>
      <c r="C141" t="s">
        <v>242</v>
      </c>
      <c r="D141">
        <v>89298102</v>
      </c>
      <c r="E141">
        <v>90025461</v>
      </c>
      <c r="F141">
        <v>90025461</v>
      </c>
      <c r="G141" t="s">
        <v>11</v>
      </c>
      <c r="H141" t="s">
        <v>110</v>
      </c>
      <c r="I141" t="s">
        <v>222</v>
      </c>
      <c r="J141" t="str">
        <f>_xlfn.XLOOKUP(TABLE1[[#This Row],[staff_id]], Table2[Personnel Number], Table2[Name])</f>
        <v>Sotheary HUOV</v>
      </c>
      <c r="K141" t="str">
        <f>_xlfn.XLOOKUP(TABLE1[[#This Row],[staff_id]], Table2[Personnel Number], Table2[Branch])</f>
        <v>271 Mega Mall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E78A-9366-4B24-8312-095FF80C1E90}">
  <dimension ref="A1:J26"/>
  <sheetViews>
    <sheetView tabSelected="1" zoomScale="85" zoomScaleNormal="85" workbookViewId="0">
      <selection activeCell="I5" sqref="I5"/>
    </sheetView>
  </sheetViews>
  <sheetFormatPr defaultRowHeight="14.5" x14ac:dyDescent="0.35"/>
  <cols>
    <col min="1" max="1" width="17.54296875" bestFit="1" customWidth="1"/>
    <col min="2" max="2" width="11.6328125" bestFit="1" customWidth="1"/>
    <col min="6" max="6" width="17.54296875" bestFit="1" customWidth="1"/>
    <col min="7" max="7" width="13.7265625" customWidth="1"/>
    <col min="9" max="9" width="15.6328125" bestFit="1" customWidth="1"/>
    <col min="10" max="10" width="13.36328125" bestFit="1" customWidth="1"/>
  </cols>
  <sheetData>
    <row r="1" spans="1:10" x14ac:dyDescent="0.35">
      <c r="A1" t="s">
        <v>506</v>
      </c>
      <c r="B1" t="s">
        <v>244</v>
      </c>
    </row>
    <row r="2" spans="1:10" x14ac:dyDescent="0.35">
      <c r="A2" t="str" cm="1">
        <f t="array" ref="A2:A23">_xlfn.UNIQUE(TABLE1[Correct])</f>
        <v>Annchhy VIN</v>
      </c>
      <c r="B2">
        <f>COUNTIF(TABLE1[Correct], [1]Sheet3!$B$2)</f>
        <v>10</v>
      </c>
    </row>
    <row r="3" spans="1:10" x14ac:dyDescent="0.35">
      <c r="A3" t="str">
        <v>Vuchnay SOK</v>
      </c>
      <c r="B3">
        <f>COUNTIF(TABLE1[Correct], A3)</f>
        <v>1</v>
      </c>
    </row>
    <row r="4" spans="1:10" x14ac:dyDescent="0.35">
      <c r="A4" t="str">
        <v>Moneath NA</v>
      </c>
      <c r="B4">
        <f>COUNTIF(TABLE1[Correct], A4)</f>
        <v>16</v>
      </c>
      <c r="F4" s="30" t="s">
        <v>506</v>
      </c>
      <c r="G4" s="30" t="s">
        <v>244</v>
      </c>
      <c r="I4" s="31" t="s">
        <v>243</v>
      </c>
      <c r="J4" s="31" t="s">
        <v>507</v>
      </c>
    </row>
    <row r="5" spans="1:10" x14ac:dyDescent="0.35">
      <c r="A5" t="str">
        <v xml:space="preserve">Phary SIN </v>
      </c>
      <c r="B5">
        <f>COUNTIF(TABLE1[Correct], A5)</f>
        <v>11</v>
      </c>
      <c r="F5" s="29" t="str" cm="1">
        <f t="array" ref="F5:F26">_xlfn.UNIQUE(TABLE1[Correct])</f>
        <v>Annchhy VIN</v>
      </c>
      <c r="G5" s="29">
        <f>COUNTIF(TABLE1[Correct], F5)</f>
        <v>3</v>
      </c>
      <c r="I5" s="29" t="str" cm="1">
        <f t="array" ref="I5:I12">_xlfn.UNIQUE(TABLE1[Branch_Name])</f>
        <v>Battambang</v>
      </c>
      <c r="J5" s="29">
        <f>COUNTIF(TABLE1[Branch_Name], I5)</f>
        <v>5</v>
      </c>
    </row>
    <row r="6" spans="1:10" x14ac:dyDescent="0.35">
      <c r="A6" t="str">
        <v xml:space="preserve">Povrachana VONG </v>
      </c>
      <c r="B6">
        <f>COUNTIF(TABLE1[Correct], A6)</f>
        <v>6</v>
      </c>
      <c r="F6" s="29" t="str">
        <v>Vuchnay SOK</v>
      </c>
      <c r="G6" s="29">
        <f>COUNTIF(TABLE1[Correct], F6)</f>
        <v>1</v>
      </c>
      <c r="I6" s="29" t="str">
        <v>Noromall</v>
      </c>
      <c r="J6" s="29">
        <f>COUNTIF(TABLE1[Branch_Name], I6)</f>
        <v>28</v>
      </c>
    </row>
    <row r="7" spans="1:10" x14ac:dyDescent="0.35">
      <c r="A7" t="str">
        <v>Lim Houng TEANG</v>
      </c>
      <c r="B7">
        <f>COUNTIF(TABLE1[Correct], A7)</f>
        <v>7</v>
      </c>
      <c r="F7" s="29" t="str">
        <v>Moneath NA</v>
      </c>
      <c r="G7" s="29">
        <f>COUNTIF(TABLE1[Correct], F7)</f>
        <v>16</v>
      </c>
      <c r="I7" s="29" t="str">
        <v>Phsar DermThkov</v>
      </c>
      <c r="J7" s="29">
        <f>COUNTIF(TABLE1[Branch_Name], I7)</f>
        <v>31</v>
      </c>
    </row>
    <row r="8" spans="1:10" x14ac:dyDescent="0.35">
      <c r="A8" t="str">
        <v>Kimhor CHIM</v>
      </c>
      <c r="B8">
        <f>COUNTIF(TABLE1[Correct], A8)</f>
        <v>8</v>
      </c>
      <c r="F8" s="29" t="str">
        <v xml:space="preserve">Phary SIN </v>
      </c>
      <c r="G8" s="29">
        <f>COUNTIF(TABLE1[Correct], F8)</f>
        <v>11</v>
      </c>
      <c r="I8" s="29" t="str">
        <v>Chip Mong Tower</v>
      </c>
      <c r="J8" s="29">
        <f>COUNTIF(TABLE1[Branch_Name], I8)</f>
        <v>19</v>
      </c>
    </row>
    <row r="9" spans="1:10" x14ac:dyDescent="0.35">
      <c r="A9" t="str">
        <v>Mouyleang ROEUN</v>
      </c>
      <c r="B9">
        <f>COUNTIF(TABLE1[Correct], A9)</f>
        <v>9</v>
      </c>
      <c r="F9" s="29" t="str">
        <v xml:space="preserve">Povrachana VONG </v>
      </c>
      <c r="G9" s="29">
        <f>COUNTIF(TABLE1[Correct], F9)</f>
        <v>6</v>
      </c>
      <c r="I9" s="29" t="str">
        <v>Preah Norodom</v>
      </c>
      <c r="J9" s="29">
        <f>COUNTIF(TABLE1[Branch_Name], I9)</f>
        <v>8</v>
      </c>
    </row>
    <row r="10" spans="1:10" x14ac:dyDescent="0.35">
      <c r="A10" t="str">
        <v>Leakhena OU</v>
      </c>
      <c r="B10">
        <f>COUNTIF(TABLE1[Correct], A10)</f>
        <v>2</v>
      </c>
      <c r="F10" s="29" t="str">
        <v>Lim Houng TEANG</v>
      </c>
      <c r="G10" s="29">
        <f>COUNTIF(TABLE1[Correct], F10)</f>
        <v>7</v>
      </c>
      <c r="I10" s="29" t="str">
        <v>598 Mall</v>
      </c>
      <c r="J10" s="29">
        <f>COUNTIF(TABLE1[Branch_Name], I10)</f>
        <v>20</v>
      </c>
    </row>
    <row r="11" spans="1:10" x14ac:dyDescent="0.35">
      <c r="A11" t="str">
        <v>Neardy TO</v>
      </c>
      <c r="B11">
        <f>COUNTIF(TABLE1[Correct], A11)</f>
        <v>3</v>
      </c>
      <c r="F11" s="29" t="str">
        <v>Kimhor CHIM</v>
      </c>
      <c r="G11" s="29">
        <f>COUNTIF(TABLE1[Correct], F11)</f>
        <v>8</v>
      </c>
      <c r="I11" s="29" t="str">
        <v>Mao Tse Toung</v>
      </c>
      <c r="J11" s="29">
        <f>COUNTIF(TABLE1[Branch_Name], I11)</f>
        <v>8</v>
      </c>
    </row>
    <row r="12" spans="1:10" x14ac:dyDescent="0.35">
      <c r="A12" t="str">
        <v>Rina NAN</v>
      </c>
      <c r="B12">
        <f>COUNTIF(TABLE1[Correct], A12)</f>
        <v>10</v>
      </c>
      <c r="F12" s="29" t="str">
        <v>Mouyleang ROEUN</v>
      </c>
      <c r="G12" s="29">
        <f>COUNTIF(TABLE1[Correct], F12)</f>
        <v>9</v>
      </c>
      <c r="I12" s="29" t="str">
        <v>271 Mega Mall</v>
      </c>
      <c r="J12" s="29">
        <f>COUNTIF(TABLE1[Branch_Name], I12)</f>
        <v>21</v>
      </c>
    </row>
    <row r="13" spans="1:10" x14ac:dyDescent="0.35">
      <c r="A13" t="str">
        <v>Sreyleak HENG</v>
      </c>
      <c r="B13">
        <f>COUNTIF(TABLE1[Correct], A13)</f>
        <v>4</v>
      </c>
      <c r="F13" s="29" t="str">
        <v>Leakhena OU</v>
      </c>
      <c r="G13" s="29">
        <f>COUNTIF(TABLE1[Correct], F13)</f>
        <v>2</v>
      </c>
    </row>
    <row r="14" spans="1:10" x14ac:dyDescent="0.35">
      <c r="A14" t="str">
        <v>Dane NY</v>
      </c>
      <c r="B14">
        <f>COUNTIF(TABLE1[Correct], A14)</f>
        <v>10</v>
      </c>
      <c r="F14" s="29" t="str">
        <v>Neardy TO</v>
      </c>
      <c r="G14" s="29">
        <f>COUNTIF(TABLE1[Correct], F14)</f>
        <v>3</v>
      </c>
    </row>
    <row r="15" spans="1:10" x14ac:dyDescent="0.35">
      <c r="A15" t="str">
        <v>Chanthy VOUEN</v>
      </c>
      <c r="B15">
        <f>COUNTIF(TABLE1[Correct], A15)</f>
        <v>9</v>
      </c>
      <c r="F15" s="29" t="str">
        <v>Rina NAN</v>
      </c>
      <c r="G15" s="29">
        <f>COUNTIF(TABLE1[Correct], F15)</f>
        <v>10</v>
      </c>
    </row>
    <row r="16" spans="1:10" x14ac:dyDescent="0.35">
      <c r="A16" t="str">
        <v>Chanbormey MOTH</v>
      </c>
      <c r="B16">
        <f>COUNTIF(TABLE1[Correct], A16)</f>
        <v>3</v>
      </c>
      <c r="F16" s="29" t="str">
        <v>Sreyleak HENG</v>
      </c>
      <c r="G16" s="29">
        <f>COUNTIF(TABLE1[Correct], F16)</f>
        <v>4</v>
      </c>
    </row>
    <row r="17" spans="1:7" x14ac:dyDescent="0.35">
      <c r="A17" t="str">
        <v>Nika LOT</v>
      </c>
      <c r="B17">
        <f>COUNTIF(TABLE1[Correct], A17)</f>
        <v>3</v>
      </c>
      <c r="F17" s="29" t="str">
        <v>Dane NY</v>
      </c>
      <c r="G17" s="29">
        <f>COUNTIF(TABLE1[Correct], F17)</f>
        <v>10</v>
      </c>
    </row>
    <row r="18" spans="1:7" x14ac:dyDescent="0.35">
      <c r="A18" t="str">
        <v>Soksomavatey SIV</v>
      </c>
      <c r="B18">
        <f>COUNTIF(TABLE1[Correct], A18)</f>
        <v>3</v>
      </c>
      <c r="F18" s="29" t="str">
        <v>Chanthy VOUEN</v>
      </c>
      <c r="G18" s="29">
        <f>COUNTIF(TABLE1[Correct], F18)</f>
        <v>9</v>
      </c>
    </row>
    <row r="19" spans="1:7" x14ac:dyDescent="0.35">
      <c r="A19" t="str">
        <v>Rosenika ENG</v>
      </c>
      <c r="B19">
        <f>COUNTIF(TABLE1[Correct], A19)</f>
        <v>2</v>
      </c>
      <c r="F19" s="29" t="str">
        <v>Chanbormey MOTH</v>
      </c>
      <c r="G19" s="29">
        <f>COUNTIF(TABLE1[Correct], F19)</f>
        <v>3</v>
      </c>
    </row>
    <row r="20" spans="1:7" x14ac:dyDescent="0.35">
      <c r="A20" t="str">
        <v xml:space="preserve">Sreyoun KEO </v>
      </c>
      <c r="B20">
        <f>COUNTIF(TABLE1[Correct], A20)</f>
        <v>1</v>
      </c>
      <c r="F20" s="29" t="str">
        <v>Nika LOT</v>
      </c>
      <c r="G20" s="29">
        <f>COUNTIF(TABLE1[Correct], F20)</f>
        <v>3</v>
      </c>
    </row>
    <row r="21" spans="1:7" x14ac:dyDescent="0.35">
      <c r="A21" t="str">
        <v>Porpor KANG</v>
      </c>
      <c r="B21">
        <f>COUNTIF(TABLE1[Correct], A21)</f>
        <v>3</v>
      </c>
      <c r="F21" s="29" t="str">
        <v>Soksomavatey SIV</v>
      </c>
      <c r="G21" s="29">
        <f>COUNTIF(TABLE1[Correct], F21)</f>
        <v>3</v>
      </c>
    </row>
    <row r="22" spans="1:7" x14ac:dyDescent="0.35">
      <c r="A22" t="str">
        <v>Pharin NOU</v>
      </c>
      <c r="B22">
        <f>COUNTIF(TABLE1[Correct], A22)</f>
        <v>5</v>
      </c>
      <c r="F22" s="29" t="str">
        <v>Rosenika ENG</v>
      </c>
      <c r="G22" s="29">
        <f>COUNTIF(TABLE1[Correct], F22)</f>
        <v>2</v>
      </c>
    </row>
    <row r="23" spans="1:7" x14ac:dyDescent="0.35">
      <c r="A23" t="str">
        <v>Sotheary HUOV</v>
      </c>
      <c r="B23">
        <f>COUNTIF(TABLE1[Correct], A23)</f>
        <v>21</v>
      </c>
      <c r="F23" s="29" t="str">
        <v xml:space="preserve">Sreyoun KEO </v>
      </c>
      <c r="G23" s="29">
        <f>COUNTIF(TABLE1[Correct], F23)</f>
        <v>1</v>
      </c>
    </row>
    <row r="24" spans="1:7" x14ac:dyDescent="0.35">
      <c r="F24" s="29" t="str">
        <v>Porpor KANG</v>
      </c>
      <c r="G24" s="29">
        <f>COUNTIF(TABLE1[Correct], F24)</f>
        <v>3</v>
      </c>
    </row>
    <row r="25" spans="1:7" x14ac:dyDescent="0.35">
      <c r="F25" s="29" t="str">
        <v>Pharin NOU</v>
      </c>
      <c r="G25" s="29">
        <f>COUNTIF(TABLE1[Correct], F25)</f>
        <v>5</v>
      </c>
    </row>
    <row r="26" spans="1:7" x14ac:dyDescent="0.35">
      <c r="F26" s="29" t="str">
        <v>Sotheary HUOV</v>
      </c>
      <c r="G26" s="29">
        <f>COUNTIF(TABLE1[Correct], F26)</f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903D-A964-4334-AABB-004021DB9513}">
  <dimension ref="A1:J135"/>
  <sheetViews>
    <sheetView topLeftCell="A112" workbookViewId="0">
      <selection sqref="A1:J135"/>
    </sheetView>
  </sheetViews>
  <sheetFormatPr defaultRowHeight="14.5" x14ac:dyDescent="0.35"/>
  <cols>
    <col min="1" max="1" width="18.453125" customWidth="1"/>
    <col min="3" max="3" width="11.7265625" customWidth="1"/>
    <col min="6" max="6" width="16.7265625" customWidth="1"/>
    <col min="9" max="9" width="9.26953125" customWidth="1"/>
    <col min="10" max="10" width="14.453125" customWidth="1"/>
  </cols>
  <sheetData>
    <row r="1" spans="1:10" x14ac:dyDescent="0.35">
      <c r="A1" s="20" t="s">
        <v>245</v>
      </c>
      <c r="B1" s="20" t="s">
        <v>246</v>
      </c>
      <c r="C1" s="21" t="s">
        <v>247</v>
      </c>
      <c r="D1" s="20" t="s">
        <v>248</v>
      </c>
      <c r="E1" s="20" t="s">
        <v>249</v>
      </c>
      <c r="F1" s="20" t="s">
        <v>250</v>
      </c>
      <c r="G1" s="22" t="s">
        <v>251</v>
      </c>
      <c r="H1" s="23" t="s">
        <v>252</v>
      </c>
      <c r="I1" s="22" t="s">
        <v>253</v>
      </c>
      <c r="J1" s="24" t="s">
        <v>254</v>
      </c>
    </row>
    <row r="2" spans="1:10" x14ac:dyDescent="0.35">
      <c r="A2" s="5">
        <v>90009028</v>
      </c>
      <c r="B2" s="13" t="s">
        <v>255</v>
      </c>
      <c r="C2" s="11">
        <v>43451</v>
      </c>
      <c r="D2" s="10" t="s">
        <v>256</v>
      </c>
      <c r="E2" s="5" t="s">
        <v>257</v>
      </c>
      <c r="F2" s="5" t="s">
        <v>258</v>
      </c>
      <c r="G2" s="5" t="s">
        <v>259</v>
      </c>
      <c r="H2" s="12" t="s">
        <v>260</v>
      </c>
      <c r="I2" s="4"/>
      <c r="J2" s="2"/>
    </row>
    <row r="3" spans="1:10" x14ac:dyDescent="0.35">
      <c r="A3" s="5">
        <v>90009126</v>
      </c>
      <c r="B3" s="13" t="s">
        <v>261</v>
      </c>
      <c r="C3" s="11">
        <v>43473</v>
      </c>
      <c r="D3" s="10" t="s">
        <v>262</v>
      </c>
      <c r="E3" s="5" t="s">
        <v>257</v>
      </c>
      <c r="F3" s="5" t="s">
        <v>258</v>
      </c>
      <c r="G3" s="5" t="s">
        <v>263</v>
      </c>
      <c r="H3" s="9" t="s">
        <v>264</v>
      </c>
      <c r="I3" s="15"/>
      <c r="J3" s="2"/>
    </row>
    <row r="4" spans="1:10" x14ac:dyDescent="0.35">
      <c r="A4" s="5">
        <v>90009398</v>
      </c>
      <c r="B4" s="13" t="s">
        <v>265</v>
      </c>
      <c r="C4" s="11">
        <v>43556</v>
      </c>
      <c r="D4" s="10" t="s">
        <v>266</v>
      </c>
      <c r="E4" s="5" t="s">
        <v>257</v>
      </c>
      <c r="F4" s="5" t="s">
        <v>258</v>
      </c>
      <c r="G4" s="5" t="s">
        <v>263</v>
      </c>
      <c r="H4" s="12" t="s">
        <v>267</v>
      </c>
      <c r="I4" s="2"/>
      <c r="J4" s="2"/>
    </row>
    <row r="5" spans="1:10" x14ac:dyDescent="0.35">
      <c r="A5" s="3">
        <v>90009431</v>
      </c>
      <c r="B5" s="13" t="s">
        <v>268</v>
      </c>
      <c r="C5" s="6">
        <v>43560</v>
      </c>
      <c r="D5" s="10" t="s">
        <v>269</v>
      </c>
      <c r="E5" s="5" t="s">
        <v>257</v>
      </c>
      <c r="F5" s="5" t="s">
        <v>258</v>
      </c>
      <c r="G5" s="3" t="s">
        <v>259</v>
      </c>
      <c r="H5" s="7" t="s">
        <v>270</v>
      </c>
      <c r="I5" s="2"/>
      <c r="J5" s="2"/>
    </row>
    <row r="6" spans="1:10" x14ac:dyDescent="0.35">
      <c r="A6" s="5">
        <v>90009604</v>
      </c>
      <c r="B6" s="13" t="s">
        <v>271</v>
      </c>
      <c r="C6" s="11">
        <v>43635</v>
      </c>
      <c r="D6" s="10" t="s">
        <v>272</v>
      </c>
      <c r="E6" s="5" t="s">
        <v>257</v>
      </c>
      <c r="F6" s="5" t="s">
        <v>258</v>
      </c>
      <c r="G6" s="5" t="s">
        <v>263</v>
      </c>
      <c r="H6" s="12" t="s">
        <v>273</v>
      </c>
      <c r="I6" s="2"/>
      <c r="J6" s="2"/>
    </row>
    <row r="7" spans="1:10" x14ac:dyDescent="0.35">
      <c r="A7" s="5">
        <v>90010804</v>
      </c>
      <c r="B7" s="13" t="s">
        <v>274</v>
      </c>
      <c r="C7" s="11">
        <v>43787</v>
      </c>
      <c r="D7" s="10" t="s">
        <v>256</v>
      </c>
      <c r="E7" s="5" t="s">
        <v>257</v>
      </c>
      <c r="F7" s="5" t="s">
        <v>258</v>
      </c>
      <c r="G7" s="5"/>
      <c r="H7" s="12" t="s">
        <v>275</v>
      </c>
      <c r="I7" s="4" t="s">
        <v>276</v>
      </c>
      <c r="J7" s="17">
        <v>46082</v>
      </c>
    </row>
    <row r="8" spans="1:10" x14ac:dyDescent="0.35">
      <c r="A8" s="5">
        <v>90010868</v>
      </c>
      <c r="B8" s="13" t="s">
        <v>277</v>
      </c>
      <c r="C8" s="11">
        <v>43815</v>
      </c>
      <c r="D8" s="14" t="s">
        <v>278</v>
      </c>
      <c r="E8" s="5" t="s">
        <v>257</v>
      </c>
      <c r="F8" s="5" t="s">
        <v>258</v>
      </c>
      <c r="G8" s="5" t="s">
        <v>263</v>
      </c>
      <c r="H8" s="12" t="s">
        <v>279</v>
      </c>
      <c r="I8" s="2"/>
      <c r="J8" s="2"/>
    </row>
    <row r="9" spans="1:10" x14ac:dyDescent="0.35">
      <c r="A9" s="5">
        <v>90011178</v>
      </c>
      <c r="B9" s="13" t="s">
        <v>280</v>
      </c>
      <c r="C9" s="11">
        <v>43850</v>
      </c>
      <c r="D9" s="10" t="s">
        <v>281</v>
      </c>
      <c r="E9" s="5" t="s">
        <v>257</v>
      </c>
      <c r="F9" s="5" t="s">
        <v>258</v>
      </c>
      <c r="G9" s="5" t="s">
        <v>259</v>
      </c>
      <c r="H9" s="12" t="s">
        <v>282</v>
      </c>
      <c r="I9" s="2"/>
      <c r="J9" s="19"/>
    </row>
    <row r="10" spans="1:10" x14ac:dyDescent="0.35">
      <c r="A10" s="5">
        <v>90011181</v>
      </c>
      <c r="B10" s="13" t="s">
        <v>283</v>
      </c>
      <c r="C10" s="11">
        <v>43852</v>
      </c>
      <c r="D10" s="10" t="s">
        <v>272</v>
      </c>
      <c r="E10" s="5" t="s">
        <v>284</v>
      </c>
      <c r="F10" s="5" t="s">
        <v>258</v>
      </c>
      <c r="G10" s="5" t="s">
        <v>263</v>
      </c>
      <c r="H10" s="12" t="s">
        <v>285</v>
      </c>
      <c r="I10" s="2"/>
      <c r="J10" s="2"/>
    </row>
    <row r="11" spans="1:10" x14ac:dyDescent="0.35">
      <c r="A11" s="5">
        <v>90011207</v>
      </c>
      <c r="B11" s="13" t="s">
        <v>286</v>
      </c>
      <c r="C11" s="11">
        <v>43843</v>
      </c>
      <c r="D11" s="10" t="s">
        <v>287</v>
      </c>
      <c r="E11" s="5" t="s">
        <v>257</v>
      </c>
      <c r="F11" s="5" t="s">
        <v>258</v>
      </c>
      <c r="G11" s="5"/>
      <c r="H11" s="12" t="s">
        <v>288</v>
      </c>
      <c r="I11" s="4" t="s">
        <v>289</v>
      </c>
      <c r="J11" s="17">
        <v>45992</v>
      </c>
    </row>
    <row r="12" spans="1:10" x14ac:dyDescent="0.35">
      <c r="A12" s="5">
        <v>90011249</v>
      </c>
      <c r="B12" s="13" t="s">
        <v>290</v>
      </c>
      <c r="C12" s="11">
        <v>43864</v>
      </c>
      <c r="D12" s="10" t="s">
        <v>291</v>
      </c>
      <c r="E12" s="5" t="s">
        <v>284</v>
      </c>
      <c r="F12" s="5" t="s">
        <v>258</v>
      </c>
      <c r="G12" s="5" t="s">
        <v>259</v>
      </c>
      <c r="H12" s="12" t="s">
        <v>292</v>
      </c>
      <c r="I12" s="2"/>
      <c r="J12" s="2"/>
    </row>
    <row r="13" spans="1:10" x14ac:dyDescent="0.35">
      <c r="A13" s="5">
        <v>90011250</v>
      </c>
      <c r="B13" s="13" t="s">
        <v>293</v>
      </c>
      <c r="C13" s="11">
        <v>43864</v>
      </c>
      <c r="D13" s="10" t="s">
        <v>262</v>
      </c>
      <c r="E13" s="5" t="s">
        <v>284</v>
      </c>
      <c r="F13" s="5" t="s">
        <v>258</v>
      </c>
      <c r="G13" s="5" t="s">
        <v>259</v>
      </c>
      <c r="H13" s="12" t="s">
        <v>292</v>
      </c>
      <c r="I13" s="2"/>
      <c r="J13" s="2"/>
    </row>
    <row r="14" spans="1:10" x14ac:dyDescent="0.35">
      <c r="A14" s="5">
        <v>90011353</v>
      </c>
      <c r="B14" s="13" t="s">
        <v>294</v>
      </c>
      <c r="C14" s="11">
        <v>43969</v>
      </c>
      <c r="D14" s="10" t="s">
        <v>295</v>
      </c>
      <c r="E14" s="5" t="s">
        <v>257</v>
      </c>
      <c r="F14" s="5" t="s">
        <v>258</v>
      </c>
      <c r="G14" s="5" t="s">
        <v>259</v>
      </c>
      <c r="H14" s="12" t="s">
        <v>296</v>
      </c>
      <c r="I14" s="4" t="s">
        <v>297</v>
      </c>
      <c r="J14" s="2"/>
    </row>
    <row r="15" spans="1:10" x14ac:dyDescent="0.35">
      <c r="A15" s="5">
        <v>90011502</v>
      </c>
      <c r="B15" s="13" t="s">
        <v>298</v>
      </c>
      <c r="C15" s="11">
        <v>43913</v>
      </c>
      <c r="D15" s="10" t="s">
        <v>272</v>
      </c>
      <c r="E15" s="5" t="s">
        <v>257</v>
      </c>
      <c r="F15" s="5" t="s">
        <v>258</v>
      </c>
      <c r="G15" s="5"/>
      <c r="H15" s="12" t="s">
        <v>299</v>
      </c>
      <c r="I15" s="4" t="s">
        <v>289</v>
      </c>
      <c r="J15" s="17">
        <v>45992</v>
      </c>
    </row>
    <row r="16" spans="1:10" x14ac:dyDescent="0.35">
      <c r="A16" s="5">
        <v>90011572</v>
      </c>
      <c r="B16" s="13" t="s">
        <v>300</v>
      </c>
      <c r="C16" s="11">
        <v>43913</v>
      </c>
      <c r="D16" s="10" t="s">
        <v>301</v>
      </c>
      <c r="E16" s="5" t="s">
        <v>257</v>
      </c>
      <c r="F16" s="5" t="s">
        <v>258</v>
      </c>
      <c r="G16" s="5"/>
      <c r="H16" s="12" t="s">
        <v>299</v>
      </c>
      <c r="I16" s="4" t="s">
        <v>302</v>
      </c>
      <c r="J16" s="17">
        <v>46023</v>
      </c>
    </row>
    <row r="17" spans="1:10" x14ac:dyDescent="0.35">
      <c r="A17" s="5">
        <v>90011720</v>
      </c>
      <c r="B17" s="13" t="s">
        <v>303</v>
      </c>
      <c r="C17" s="11">
        <v>43969</v>
      </c>
      <c r="D17" s="10" t="s">
        <v>304</v>
      </c>
      <c r="E17" s="5" t="s">
        <v>257</v>
      </c>
      <c r="F17" s="5" t="s">
        <v>258</v>
      </c>
      <c r="G17" s="5" t="s">
        <v>305</v>
      </c>
      <c r="H17" s="12" t="s">
        <v>296</v>
      </c>
      <c r="I17" s="2"/>
      <c r="J17" s="2"/>
    </row>
    <row r="18" spans="1:10" x14ac:dyDescent="0.35">
      <c r="A18" s="5">
        <v>90011721</v>
      </c>
      <c r="B18" s="13" t="s">
        <v>306</v>
      </c>
      <c r="C18" s="11">
        <v>43969</v>
      </c>
      <c r="D18" s="10" t="s">
        <v>304</v>
      </c>
      <c r="E18" s="5" t="s">
        <v>257</v>
      </c>
      <c r="F18" s="5" t="s">
        <v>258</v>
      </c>
      <c r="G18" s="5" t="s">
        <v>307</v>
      </c>
      <c r="H18" s="12" t="s">
        <v>296</v>
      </c>
      <c r="I18" s="2"/>
      <c r="J18" s="2"/>
    </row>
    <row r="19" spans="1:10" x14ac:dyDescent="0.35">
      <c r="A19" s="5">
        <v>90011723</v>
      </c>
      <c r="B19" s="13" t="s">
        <v>308</v>
      </c>
      <c r="C19" s="11">
        <v>43969</v>
      </c>
      <c r="D19" s="10" t="s">
        <v>295</v>
      </c>
      <c r="E19" s="5" t="s">
        <v>257</v>
      </c>
      <c r="F19" s="5" t="s">
        <v>258</v>
      </c>
      <c r="G19" s="5"/>
      <c r="H19" s="12" t="s">
        <v>296</v>
      </c>
      <c r="I19" s="4" t="s">
        <v>309</v>
      </c>
      <c r="J19" s="17">
        <v>46069</v>
      </c>
    </row>
    <row r="20" spans="1:10" x14ac:dyDescent="0.35">
      <c r="A20" s="5">
        <v>90011726</v>
      </c>
      <c r="B20" s="13" t="s">
        <v>310</v>
      </c>
      <c r="C20" s="11">
        <v>43969</v>
      </c>
      <c r="D20" s="10" t="s">
        <v>304</v>
      </c>
      <c r="E20" s="5" t="s">
        <v>257</v>
      </c>
      <c r="F20" s="5" t="s">
        <v>258</v>
      </c>
      <c r="G20" s="5" t="s">
        <v>259</v>
      </c>
      <c r="H20" s="12" t="s">
        <v>296</v>
      </c>
      <c r="I20" s="4"/>
      <c r="J20" s="2"/>
    </row>
    <row r="21" spans="1:10" x14ac:dyDescent="0.35">
      <c r="A21" s="5">
        <v>90011727</v>
      </c>
      <c r="B21" s="13" t="s">
        <v>311</v>
      </c>
      <c r="C21" s="11">
        <v>43969</v>
      </c>
      <c r="D21" s="10" t="s">
        <v>304</v>
      </c>
      <c r="E21" s="5" t="s">
        <v>257</v>
      </c>
      <c r="F21" s="5" t="s">
        <v>258</v>
      </c>
      <c r="G21" s="5" t="s">
        <v>307</v>
      </c>
      <c r="H21" s="12" t="s">
        <v>296</v>
      </c>
      <c r="I21" s="4" t="s">
        <v>312</v>
      </c>
      <c r="J21" s="2"/>
    </row>
    <row r="22" spans="1:10" x14ac:dyDescent="0.35">
      <c r="A22" s="5">
        <v>90011728</v>
      </c>
      <c r="B22" s="13" t="s">
        <v>313</v>
      </c>
      <c r="C22" s="11">
        <v>43969</v>
      </c>
      <c r="D22" s="10" t="s">
        <v>304</v>
      </c>
      <c r="E22" s="5" t="s">
        <v>257</v>
      </c>
      <c r="F22" s="5" t="s">
        <v>258</v>
      </c>
      <c r="G22" s="5" t="s">
        <v>263</v>
      </c>
      <c r="H22" s="12" t="s">
        <v>296</v>
      </c>
      <c r="I22" s="4"/>
      <c r="J22" s="2"/>
    </row>
    <row r="23" spans="1:10" x14ac:dyDescent="0.35">
      <c r="A23" s="5">
        <v>90011782</v>
      </c>
      <c r="B23" s="13" t="s">
        <v>314</v>
      </c>
      <c r="C23" s="11">
        <v>43941</v>
      </c>
      <c r="D23" s="10" t="s">
        <v>315</v>
      </c>
      <c r="E23" s="5" t="s">
        <v>257</v>
      </c>
      <c r="F23" s="5" t="s">
        <v>258</v>
      </c>
      <c r="G23" s="5" t="s">
        <v>307</v>
      </c>
      <c r="H23" s="12" t="s">
        <v>316</v>
      </c>
      <c r="I23" s="2"/>
      <c r="J23" s="2"/>
    </row>
    <row r="24" spans="1:10" x14ac:dyDescent="0.35">
      <c r="A24" s="5">
        <v>90011918</v>
      </c>
      <c r="B24" s="13" t="s">
        <v>317</v>
      </c>
      <c r="C24" s="11">
        <v>44004</v>
      </c>
      <c r="D24" s="10" t="s">
        <v>266</v>
      </c>
      <c r="E24" s="5" t="s">
        <v>257</v>
      </c>
      <c r="F24" s="5" t="s">
        <v>258</v>
      </c>
      <c r="G24" s="5" t="s">
        <v>259</v>
      </c>
      <c r="H24" s="12" t="s">
        <v>318</v>
      </c>
      <c r="I24" s="2"/>
      <c r="J24" s="2"/>
    </row>
    <row r="25" spans="1:10" x14ac:dyDescent="0.35">
      <c r="A25" s="5">
        <v>90011966</v>
      </c>
      <c r="B25" s="13" t="s">
        <v>319</v>
      </c>
      <c r="C25" s="11">
        <v>44046</v>
      </c>
      <c r="D25" s="10" t="s">
        <v>272</v>
      </c>
      <c r="E25" s="5" t="s">
        <v>284</v>
      </c>
      <c r="F25" s="5" t="s">
        <v>258</v>
      </c>
      <c r="G25" s="5" t="s">
        <v>259</v>
      </c>
      <c r="H25" s="12" t="s">
        <v>320</v>
      </c>
      <c r="I25" s="2"/>
      <c r="J25" s="2"/>
    </row>
    <row r="26" spans="1:10" x14ac:dyDescent="0.35">
      <c r="A26" s="5">
        <v>90012016</v>
      </c>
      <c r="B26" s="13" t="s">
        <v>321</v>
      </c>
      <c r="C26" s="11">
        <v>44046</v>
      </c>
      <c r="D26" s="10" t="s">
        <v>315</v>
      </c>
      <c r="E26" s="5" t="s">
        <v>257</v>
      </c>
      <c r="F26" s="5" t="s">
        <v>258</v>
      </c>
      <c r="G26" s="5"/>
      <c r="H26" s="12" t="s">
        <v>320</v>
      </c>
      <c r="I26" s="4" t="s">
        <v>322</v>
      </c>
      <c r="J26" s="17">
        <v>46023</v>
      </c>
    </row>
    <row r="27" spans="1:10" x14ac:dyDescent="0.35">
      <c r="A27" s="5">
        <v>90012220</v>
      </c>
      <c r="B27" s="13" t="s">
        <v>323</v>
      </c>
      <c r="C27" s="11">
        <v>44105</v>
      </c>
      <c r="D27" s="10" t="s">
        <v>301</v>
      </c>
      <c r="E27" s="5" t="s">
        <v>257</v>
      </c>
      <c r="F27" s="5" t="s">
        <v>258</v>
      </c>
      <c r="G27" s="5" t="s">
        <v>259</v>
      </c>
      <c r="H27" s="12" t="s">
        <v>324</v>
      </c>
      <c r="I27" s="4" t="s">
        <v>325</v>
      </c>
      <c r="J27" s="2"/>
    </row>
    <row r="28" spans="1:10" x14ac:dyDescent="0.35">
      <c r="A28" s="5">
        <v>90012222</v>
      </c>
      <c r="B28" s="8" t="s">
        <v>326</v>
      </c>
      <c r="C28" s="11">
        <v>44105</v>
      </c>
      <c r="D28" s="10" t="s">
        <v>287</v>
      </c>
      <c r="E28" s="5" t="s">
        <v>284</v>
      </c>
      <c r="F28" s="5" t="s">
        <v>258</v>
      </c>
      <c r="G28" s="5" t="s">
        <v>307</v>
      </c>
      <c r="H28" s="12" t="s">
        <v>324</v>
      </c>
      <c r="I28" s="2"/>
      <c r="J28" s="2"/>
    </row>
    <row r="29" spans="1:10" x14ac:dyDescent="0.35">
      <c r="A29" s="5">
        <v>90012617</v>
      </c>
      <c r="B29" s="13" t="s">
        <v>327</v>
      </c>
      <c r="C29" s="11">
        <v>44172</v>
      </c>
      <c r="D29" s="10" t="s">
        <v>287</v>
      </c>
      <c r="E29" s="5" t="s">
        <v>257</v>
      </c>
      <c r="F29" s="5" t="s">
        <v>258</v>
      </c>
      <c r="G29" s="5" t="s">
        <v>259</v>
      </c>
      <c r="H29" s="9" t="s">
        <v>328</v>
      </c>
      <c r="I29" s="2"/>
      <c r="J29" s="2"/>
    </row>
    <row r="30" spans="1:10" x14ac:dyDescent="0.35">
      <c r="A30" s="5">
        <v>90012650</v>
      </c>
      <c r="B30" s="13" t="s">
        <v>329</v>
      </c>
      <c r="C30" s="11">
        <v>44179</v>
      </c>
      <c r="D30" s="10" t="s">
        <v>330</v>
      </c>
      <c r="E30" s="5" t="s">
        <v>257</v>
      </c>
      <c r="F30" s="5" t="s">
        <v>258</v>
      </c>
      <c r="G30" s="5" t="s">
        <v>263</v>
      </c>
      <c r="H30" s="12" t="s">
        <v>331</v>
      </c>
      <c r="I30" s="2"/>
      <c r="J30" s="2"/>
    </row>
    <row r="31" spans="1:10" x14ac:dyDescent="0.35">
      <c r="A31" s="5">
        <v>90013864</v>
      </c>
      <c r="B31" s="13" t="s">
        <v>332</v>
      </c>
      <c r="C31" s="11">
        <v>44480</v>
      </c>
      <c r="D31" s="10" t="s">
        <v>287</v>
      </c>
      <c r="E31" s="5" t="s">
        <v>257</v>
      </c>
      <c r="F31" s="5" t="s">
        <v>258</v>
      </c>
      <c r="G31" s="5"/>
      <c r="H31" s="12" t="s">
        <v>333</v>
      </c>
      <c r="I31" s="8" t="s">
        <v>334</v>
      </c>
      <c r="J31" s="17">
        <v>46023</v>
      </c>
    </row>
    <row r="32" spans="1:10" x14ac:dyDescent="0.35">
      <c r="A32" s="5">
        <v>90013878</v>
      </c>
      <c r="B32" s="13" t="s">
        <v>335</v>
      </c>
      <c r="C32" s="11">
        <v>44480</v>
      </c>
      <c r="D32" s="10" t="s">
        <v>272</v>
      </c>
      <c r="E32" s="5" t="s">
        <v>257</v>
      </c>
      <c r="F32" s="5" t="s">
        <v>258</v>
      </c>
      <c r="G32" s="5" t="s">
        <v>259</v>
      </c>
      <c r="H32" s="12" t="s">
        <v>333</v>
      </c>
      <c r="I32" s="4" t="s">
        <v>336</v>
      </c>
      <c r="J32" s="2"/>
    </row>
    <row r="33" spans="1:10" x14ac:dyDescent="0.35">
      <c r="A33" s="5">
        <v>90013879</v>
      </c>
      <c r="B33" s="13" t="s">
        <v>337</v>
      </c>
      <c r="C33" s="11">
        <v>44480</v>
      </c>
      <c r="D33" s="10" t="s">
        <v>272</v>
      </c>
      <c r="E33" s="5" t="s">
        <v>257</v>
      </c>
      <c r="F33" s="5" t="s">
        <v>258</v>
      </c>
      <c r="G33" s="5"/>
      <c r="H33" s="12" t="s">
        <v>333</v>
      </c>
      <c r="I33" s="4" t="s">
        <v>338</v>
      </c>
      <c r="J33" s="17">
        <v>46038</v>
      </c>
    </row>
    <row r="34" spans="1:10" x14ac:dyDescent="0.35">
      <c r="A34" s="5">
        <v>90013880</v>
      </c>
      <c r="B34" s="13" t="s">
        <v>339</v>
      </c>
      <c r="C34" s="11">
        <v>44480</v>
      </c>
      <c r="D34" s="10" t="s">
        <v>340</v>
      </c>
      <c r="E34" s="5" t="s">
        <v>257</v>
      </c>
      <c r="F34" s="5" t="s">
        <v>258</v>
      </c>
      <c r="G34" s="5"/>
      <c r="H34" s="12" t="s">
        <v>333</v>
      </c>
      <c r="I34" s="4" t="s">
        <v>341</v>
      </c>
      <c r="J34" s="17">
        <v>46054</v>
      </c>
    </row>
    <row r="35" spans="1:10" x14ac:dyDescent="0.35">
      <c r="A35" s="5">
        <v>90013883</v>
      </c>
      <c r="B35" s="13" t="s">
        <v>342</v>
      </c>
      <c r="C35" s="11">
        <v>44480</v>
      </c>
      <c r="D35" s="10" t="s">
        <v>340</v>
      </c>
      <c r="E35" s="5" t="s">
        <v>257</v>
      </c>
      <c r="F35" s="5" t="s">
        <v>258</v>
      </c>
      <c r="G35" s="5"/>
      <c r="H35" s="12" t="s">
        <v>333</v>
      </c>
      <c r="I35" s="4" t="s">
        <v>334</v>
      </c>
      <c r="J35" s="17">
        <v>46007</v>
      </c>
    </row>
    <row r="36" spans="1:10" x14ac:dyDescent="0.35">
      <c r="A36" s="5">
        <v>90013887</v>
      </c>
      <c r="B36" s="13" t="s">
        <v>343</v>
      </c>
      <c r="C36" s="11">
        <v>44480</v>
      </c>
      <c r="D36" s="10" t="s">
        <v>287</v>
      </c>
      <c r="E36" s="5" t="s">
        <v>257</v>
      </c>
      <c r="F36" s="5" t="s">
        <v>258</v>
      </c>
      <c r="G36" s="5" t="s">
        <v>305</v>
      </c>
      <c r="H36" s="12" t="s">
        <v>333</v>
      </c>
      <c r="I36" s="4" t="s">
        <v>312</v>
      </c>
      <c r="J36" s="17">
        <v>46069</v>
      </c>
    </row>
    <row r="37" spans="1:10" x14ac:dyDescent="0.35">
      <c r="A37" s="5">
        <v>90014080</v>
      </c>
      <c r="B37" s="13" t="s">
        <v>344</v>
      </c>
      <c r="C37" s="11">
        <v>44536</v>
      </c>
      <c r="D37" s="10" t="s">
        <v>340</v>
      </c>
      <c r="E37" s="5" t="s">
        <v>284</v>
      </c>
      <c r="F37" s="5" t="s">
        <v>258</v>
      </c>
      <c r="G37" s="5" t="s">
        <v>263</v>
      </c>
      <c r="H37" s="12" t="s">
        <v>345</v>
      </c>
      <c r="I37" s="2"/>
      <c r="J37" s="2"/>
    </row>
    <row r="38" spans="1:10" x14ac:dyDescent="0.35">
      <c r="A38" s="5">
        <v>90014637</v>
      </c>
      <c r="B38" s="13" t="s">
        <v>346</v>
      </c>
      <c r="C38" s="11">
        <v>44593</v>
      </c>
      <c r="D38" s="10" t="s">
        <v>291</v>
      </c>
      <c r="E38" s="5" t="s">
        <v>257</v>
      </c>
      <c r="F38" s="5" t="s">
        <v>258</v>
      </c>
      <c r="G38" s="5" t="s">
        <v>263</v>
      </c>
      <c r="H38" s="12" t="s">
        <v>347</v>
      </c>
      <c r="I38" s="2"/>
      <c r="J38" s="2"/>
    </row>
    <row r="39" spans="1:10" x14ac:dyDescent="0.35">
      <c r="A39" s="5">
        <v>90015053</v>
      </c>
      <c r="B39" s="13" t="s">
        <v>348</v>
      </c>
      <c r="C39" s="11">
        <v>44641</v>
      </c>
      <c r="D39" s="10" t="s">
        <v>291</v>
      </c>
      <c r="E39" s="5" t="s">
        <v>257</v>
      </c>
      <c r="F39" s="5" t="s">
        <v>258</v>
      </c>
      <c r="G39" s="5" t="s">
        <v>259</v>
      </c>
      <c r="H39" s="12" t="s">
        <v>349</v>
      </c>
      <c r="I39" s="2"/>
      <c r="J39" s="2"/>
    </row>
    <row r="40" spans="1:10" x14ac:dyDescent="0.35">
      <c r="A40" s="5">
        <v>90015353</v>
      </c>
      <c r="B40" s="13" t="s">
        <v>350</v>
      </c>
      <c r="C40" s="11">
        <v>44697</v>
      </c>
      <c r="D40" s="10" t="s">
        <v>351</v>
      </c>
      <c r="E40" s="5" t="s">
        <v>284</v>
      </c>
      <c r="F40" s="5" t="s">
        <v>258</v>
      </c>
      <c r="G40" s="5" t="s">
        <v>259</v>
      </c>
      <c r="H40" s="12" t="s">
        <v>352</v>
      </c>
      <c r="I40" s="2"/>
      <c r="J40" s="2"/>
    </row>
    <row r="41" spans="1:10" x14ac:dyDescent="0.35">
      <c r="A41" s="5">
        <v>90015356</v>
      </c>
      <c r="B41" s="13" t="s">
        <v>353</v>
      </c>
      <c r="C41" s="11">
        <v>44697</v>
      </c>
      <c r="D41" s="10" t="s">
        <v>287</v>
      </c>
      <c r="E41" s="5" t="s">
        <v>257</v>
      </c>
      <c r="F41" s="5" t="s">
        <v>258</v>
      </c>
      <c r="G41" s="5" t="s">
        <v>305</v>
      </c>
      <c r="H41" s="12" t="s">
        <v>352</v>
      </c>
      <c r="I41" s="2"/>
      <c r="J41" s="2"/>
    </row>
    <row r="42" spans="1:10" x14ac:dyDescent="0.35">
      <c r="A42" s="5">
        <v>90015357</v>
      </c>
      <c r="B42" s="13" t="s">
        <v>354</v>
      </c>
      <c r="C42" s="11">
        <v>44697</v>
      </c>
      <c r="D42" s="10" t="s">
        <v>315</v>
      </c>
      <c r="E42" s="5" t="s">
        <v>257</v>
      </c>
      <c r="F42" s="5" t="s">
        <v>258</v>
      </c>
      <c r="G42" s="5" t="s">
        <v>259</v>
      </c>
      <c r="H42" s="12" t="s">
        <v>352</v>
      </c>
      <c r="I42" s="2"/>
      <c r="J42" s="2"/>
    </row>
    <row r="43" spans="1:10" x14ac:dyDescent="0.35">
      <c r="A43" s="5">
        <v>90015358</v>
      </c>
      <c r="B43" s="13" t="s">
        <v>355</v>
      </c>
      <c r="C43" s="11">
        <v>44697</v>
      </c>
      <c r="D43" s="10" t="s">
        <v>351</v>
      </c>
      <c r="E43" s="5" t="s">
        <v>257</v>
      </c>
      <c r="F43" s="5" t="s">
        <v>258</v>
      </c>
      <c r="G43" s="5" t="s">
        <v>259</v>
      </c>
      <c r="H43" s="12" t="s">
        <v>352</v>
      </c>
      <c r="I43" s="2"/>
      <c r="J43" s="2"/>
    </row>
    <row r="44" spans="1:10" x14ac:dyDescent="0.35">
      <c r="A44" s="5">
        <v>90015364</v>
      </c>
      <c r="B44" s="13" t="s">
        <v>356</v>
      </c>
      <c r="C44" s="11">
        <v>44697</v>
      </c>
      <c r="D44" s="14" t="s">
        <v>278</v>
      </c>
      <c r="E44" s="5" t="s">
        <v>257</v>
      </c>
      <c r="F44" s="5" t="s">
        <v>258</v>
      </c>
      <c r="G44" s="5" t="s">
        <v>307</v>
      </c>
      <c r="H44" s="12" t="s">
        <v>352</v>
      </c>
      <c r="I44" s="2"/>
      <c r="J44" s="2"/>
    </row>
    <row r="45" spans="1:10" x14ac:dyDescent="0.35">
      <c r="A45" s="5">
        <v>90015893</v>
      </c>
      <c r="B45" s="13" t="s">
        <v>357</v>
      </c>
      <c r="C45" s="11">
        <v>44767</v>
      </c>
      <c r="D45" s="10" t="s">
        <v>269</v>
      </c>
      <c r="E45" s="5" t="s">
        <v>257</v>
      </c>
      <c r="F45" s="5" t="s">
        <v>258</v>
      </c>
      <c r="G45" s="5"/>
      <c r="H45" s="12" t="s">
        <v>358</v>
      </c>
      <c r="I45" s="4" t="s">
        <v>359</v>
      </c>
      <c r="J45" s="17">
        <v>46023</v>
      </c>
    </row>
    <row r="46" spans="1:10" x14ac:dyDescent="0.35">
      <c r="A46" s="5">
        <v>90015974</v>
      </c>
      <c r="B46" s="8" t="s">
        <v>360</v>
      </c>
      <c r="C46" s="11">
        <v>44805</v>
      </c>
      <c r="D46" s="10" t="s">
        <v>287</v>
      </c>
      <c r="E46" s="5" t="s">
        <v>284</v>
      </c>
      <c r="F46" s="5" t="s">
        <v>258</v>
      </c>
      <c r="G46" s="5" t="s">
        <v>263</v>
      </c>
      <c r="H46" s="12" t="s">
        <v>361</v>
      </c>
      <c r="I46" s="2"/>
      <c r="J46" s="2"/>
    </row>
    <row r="47" spans="1:10" x14ac:dyDescent="0.35">
      <c r="A47" s="5">
        <v>90016072</v>
      </c>
      <c r="B47" s="13" t="s">
        <v>362</v>
      </c>
      <c r="C47" s="11">
        <v>44781</v>
      </c>
      <c r="D47" s="10" t="s">
        <v>295</v>
      </c>
      <c r="E47" s="5" t="s">
        <v>257</v>
      </c>
      <c r="F47" s="5" t="s">
        <v>258</v>
      </c>
      <c r="G47" s="5" t="s">
        <v>263</v>
      </c>
      <c r="H47" s="12" t="s">
        <v>363</v>
      </c>
      <c r="I47" s="4" t="s">
        <v>364</v>
      </c>
      <c r="J47" s="2"/>
    </row>
    <row r="48" spans="1:10" x14ac:dyDescent="0.35">
      <c r="A48" s="5">
        <v>90016165</v>
      </c>
      <c r="B48" s="13" t="s">
        <v>365</v>
      </c>
      <c r="C48" s="11">
        <v>44809</v>
      </c>
      <c r="D48" s="10" t="s">
        <v>315</v>
      </c>
      <c r="E48" s="5" t="s">
        <v>257</v>
      </c>
      <c r="F48" s="5" t="s">
        <v>258</v>
      </c>
      <c r="G48" s="5" t="s">
        <v>263</v>
      </c>
      <c r="H48" s="12" t="s">
        <v>366</v>
      </c>
      <c r="I48" s="2"/>
      <c r="J48" s="2"/>
    </row>
    <row r="49" spans="1:10" x14ac:dyDescent="0.35">
      <c r="A49" s="5">
        <v>90016299</v>
      </c>
      <c r="B49" s="8" t="s">
        <v>367</v>
      </c>
      <c r="C49" s="11">
        <v>44813</v>
      </c>
      <c r="D49" s="10" t="s">
        <v>291</v>
      </c>
      <c r="E49" s="5" t="s">
        <v>284</v>
      </c>
      <c r="F49" s="5" t="s">
        <v>258</v>
      </c>
      <c r="G49" s="5" t="s">
        <v>263</v>
      </c>
      <c r="H49" s="12" t="s">
        <v>368</v>
      </c>
      <c r="I49" s="4" t="s">
        <v>369</v>
      </c>
      <c r="J49" s="2"/>
    </row>
    <row r="50" spans="1:10" x14ac:dyDescent="0.35">
      <c r="A50" s="5">
        <v>90016301</v>
      </c>
      <c r="B50" s="13" t="s">
        <v>370</v>
      </c>
      <c r="C50" s="11">
        <v>44837</v>
      </c>
      <c r="D50" s="10" t="s">
        <v>281</v>
      </c>
      <c r="E50" s="5" t="s">
        <v>257</v>
      </c>
      <c r="F50" s="5" t="s">
        <v>258</v>
      </c>
      <c r="G50" s="5" t="s">
        <v>263</v>
      </c>
      <c r="H50" s="12" t="s">
        <v>371</v>
      </c>
      <c r="I50" s="2"/>
      <c r="J50" s="2"/>
    </row>
    <row r="51" spans="1:10" x14ac:dyDescent="0.35">
      <c r="A51" s="5">
        <v>90016501</v>
      </c>
      <c r="B51" s="8" t="s">
        <v>372</v>
      </c>
      <c r="C51" s="11">
        <v>44825</v>
      </c>
      <c r="D51" s="10" t="s">
        <v>287</v>
      </c>
      <c r="E51" s="5" t="s">
        <v>284</v>
      </c>
      <c r="F51" s="5" t="s">
        <v>258</v>
      </c>
      <c r="G51" s="5" t="s">
        <v>305</v>
      </c>
      <c r="H51" s="12" t="s">
        <v>373</v>
      </c>
      <c r="I51" s="2"/>
      <c r="J51" s="2"/>
    </row>
    <row r="52" spans="1:10" x14ac:dyDescent="0.35">
      <c r="A52" s="5">
        <v>90016513</v>
      </c>
      <c r="B52" s="13" t="s">
        <v>374</v>
      </c>
      <c r="C52" s="11">
        <v>44846</v>
      </c>
      <c r="D52" s="14" t="s">
        <v>278</v>
      </c>
      <c r="E52" s="5" t="s">
        <v>257</v>
      </c>
      <c r="F52" s="5" t="s">
        <v>258</v>
      </c>
      <c r="G52" s="5" t="s">
        <v>307</v>
      </c>
      <c r="H52" s="12" t="s">
        <v>375</v>
      </c>
      <c r="I52" s="2"/>
      <c r="J52" s="2"/>
    </row>
    <row r="53" spans="1:10" x14ac:dyDescent="0.35">
      <c r="A53" s="5">
        <v>90016514</v>
      </c>
      <c r="B53" s="13" t="s">
        <v>376</v>
      </c>
      <c r="C53" s="11">
        <v>44837</v>
      </c>
      <c r="D53" s="14" t="s">
        <v>278</v>
      </c>
      <c r="E53" s="5" t="s">
        <v>257</v>
      </c>
      <c r="F53" s="5" t="s">
        <v>258</v>
      </c>
      <c r="G53" s="5" t="s">
        <v>305</v>
      </c>
      <c r="H53" s="12" t="s">
        <v>371</v>
      </c>
      <c r="I53" s="4"/>
      <c r="J53" s="2"/>
    </row>
    <row r="54" spans="1:10" x14ac:dyDescent="0.35">
      <c r="A54" s="5">
        <v>90016587</v>
      </c>
      <c r="B54" s="13" t="s">
        <v>377</v>
      </c>
      <c r="C54" s="11">
        <v>44837</v>
      </c>
      <c r="D54" s="10" t="s">
        <v>262</v>
      </c>
      <c r="E54" s="5" t="s">
        <v>257</v>
      </c>
      <c r="F54" s="5" t="s">
        <v>258</v>
      </c>
      <c r="G54" s="5" t="s">
        <v>307</v>
      </c>
      <c r="H54" s="12" t="s">
        <v>371</v>
      </c>
      <c r="I54" s="2"/>
      <c r="J54" s="2"/>
    </row>
    <row r="55" spans="1:10" x14ac:dyDescent="0.35">
      <c r="A55" s="5">
        <v>90016588</v>
      </c>
      <c r="B55" s="13" t="s">
        <v>378</v>
      </c>
      <c r="C55" s="11">
        <v>44837</v>
      </c>
      <c r="D55" s="10" t="s">
        <v>291</v>
      </c>
      <c r="E55" s="5" t="s">
        <v>257</v>
      </c>
      <c r="F55" s="5" t="s">
        <v>258</v>
      </c>
      <c r="G55" s="5" t="s">
        <v>307</v>
      </c>
      <c r="H55" s="12" t="s">
        <v>371</v>
      </c>
      <c r="I55" s="2"/>
      <c r="J55" s="2"/>
    </row>
    <row r="56" spans="1:10" x14ac:dyDescent="0.35">
      <c r="A56" s="5">
        <v>90016592</v>
      </c>
      <c r="B56" s="13" t="s">
        <v>379</v>
      </c>
      <c r="C56" s="11">
        <v>44837</v>
      </c>
      <c r="D56" s="10" t="s">
        <v>301</v>
      </c>
      <c r="E56" s="5" t="s">
        <v>257</v>
      </c>
      <c r="F56" s="5" t="s">
        <v>258</v>
      </c>
      <c r="G56" s="5" t="s">
        <v>305</v>
      </c>
      <c r="H56" s="12" t="s">
        <v>371</v>
      </c>
      <c r="I56" s="2"/>
      <c r="J56" s="2"/>
    </row>
    <row r="57" spans="1:10" x14ac:dyDescent="0.35">
      <c r="A57" s="5">
        <v>90016900</v>
      </c>
      <c r="B57" s="13" t="s">
        <v>380</v>
      </c>
      <c r="C57" s="11">
        <v>44896</v>
      </c>
      <c r="D57" s="10" t="s">
        <v>351</v>
      </c>
      <c r="E57" s="5" t="s">
        <v>257</v>
      </c>
      <c r="F57" s="5" t="s">
        <v>258</v>
      </c>
      <c r="G57" s="5" t="s">
        <v>263</v>
      </c>
      <c r="H57" s="12" t="s">
        <v>381</v>
      </c>
      <c r="I57" s="2"/>
      <c r="J57" s="2"/>
    </row>
    <row r="58" spans="1:10" x14ac:dyDescent="0.35">
      <c r="A58" s="5">
        <v>90017081</v>
      </c>
      <c r="B58" s="13" t="s">
        <v>382</v>
      </c>
      <c r="C58" s="11">
        <v>44928</v>
      </c>
      <c r="D58" s="10" t="s">
        <v>291</v>
      </c>
      <c r="E58" s="5" t="s">
        <v>284</v>
      </c>
      <c r="F58" s="5" t="s">
        <v>258</v>
      </c>
      <c r="G58" s="5" t="s">
        <v>305</v>
      </c>
      <c r="H58" s="12" t="s">
        <v>383</v>
      </c>
      <c r="I58" s="2"/>
      <c r="J58" s="2"/>
    </row>
    <row r="59" spans="1:10" x14ac:dyDescent="0.35">
      <c r="A59" s="5">
        <v>90017535</v>
      </c>
      <c r="B59" s="13" t="s">
        <v>384</v>
      </c>
      <c r="C59" s="11">
        <v>45019</v>
      </c>
      <c r="D59" s="10" t="s">
        <v>281</v>
      </c>
      <c r="E59" s="5" t="s">
        <v>257</v>
      </c>
      <c r="F59" s="5" t="s">
        <v>258</v>
      </c>
      <c r="G59" s="5" t="s">
        <v>305</v>
      </c>
      <c r="H59" s="12" t="s">
        <v>385</v>
      </c>
      <c r="I59" s="2"/>
      <c r="J59" s="2"/>
    </row>
    <row r="60" spans="1:10" x14ac:dyDescent="0.35">
      <c r="A60" s="5">
        <v>90017653</v>
      </c>
      <c r="B60" s="13" t="s">
        <v>386</v>
      </c>
      <c r="C60" s="11">
        <v>45036</v>
      </c>
      <c r="D60" s="10" t="s">
        <v>304</v>
      </c>
      <c r="E60" s="5" t="s">
        <v>257</v>
      </c>
      <c r="F60" s="5" t="s">
        <v>258</v>
      </c>
      <c r="G60" s="5" t="s">
        <v>305</v>
      </c>
      <c r="H60" s="12" t="s">
        <v>387</v>
      </c>
      <c r="I60" s="2"/>
      <c r="J60" s="2"/>
    </row>
    <row r="61" spans="1:10" x14ac:dyDescent="0.35">
      <c r="A61" s="5">
        <v>90017696</v>
      </c>
      <c r="B61" s="13" t="s">
        <v>388</v>
      </c>
      <c r="C61" s="11">
        <v>45071</v>
      </c>
      <c r="D61" s="10" t="s">
        <v>262</v>
      </c>
      <c r="E61" s="5" t="s">
        <v>284</v>
      </c>
      <c r="F61" s="5" t="s">
        <v>258</v>
      </c>
      <c r="G61" s="5" t="s">
        <v>263</v>
      </c>
      <c r="H61" s="12" t="s">
        <v>389</v>
      </c>
      <c r="I61" s="2"/>
      <c r="J61" s="2"/>
    </row>
    <row r="62" spans="1:10" x14ac:dyDescent="0.35">
      <c r="A62" s="5">
        <v>90017697</v>
      </c>
      <c r="B62" s="13" t="s">
        <v>390</v>
      </c>
      <c r="C62" s="11">
        <v>45026</v>
      </c>
      <c r="D62" s="10" t="s">
        <v>315</v>
      </c>
      <c r="E62" s="5" t="s">
        <v>257</v>
      </c>
      <c r="F62" s="5" t="s">
        <v>258</v>
      </c>
      <c r="G62" s="5" t="s">
        <v>305</v>
      </c>
      <c r="H62" s="12" t="s">
        <v>391</v>
      </c>
      <c r="I62" s="2"/>
      <c r="J62" s="2"/>
    </row>
    <row r="63" spans="1:10" x14ac:dyDescent="0.35">
      <c r="A63" s="5">
        <v>90017710</v>
      </c>
      <c r="B63" s="13" t="s">
        <v>392</v>
      </c>
      <c r="C63" s="11">
        <v>45055</v>
      </c>
      <c r="D63" s="10" t="s">
        <v>287</v>
      </c>
      <c r="E63" s="5" t="s">
        <v>257</v>
      </c>
      <c r="F63" s="5" t="s">
        <v>258</v>
      </c>
      <c r="G63" s="5" t="s">
        <v>259</v>
      </c>
      <c r="H63" s="12" t="s">
        <v>393</v>
      </c>
      <c r="I63" s="2"/>
      <c r="J63" s="2"/>
    </row>
    <row r="64" spans="1:10" x14ac:dyDescent="0.35">
      <c r="A64" s="5">
        <v>90017752</v>
      </c>
      <c r="B64" s="13" t="s">
        <v>394</v>
      </c>
      <c r="C64" s="11">
        <v>45035</v>
      </c>
      <c r="D64" s="10" t="s">
        <v>340</v>
      </c>
      <c r="E64" s="5" t="s">
        <v>257</v>
      </c>
      <c r="F64" s="5" t="s">
        <v>258</v>
      </c>
      <c r="G64" s="5" t="s">
        <v>305</v>
      </c>
      <c r="H64" s="12" t="s">
        <v>395</v>
      </c>
      <c r="I64" s="2"/>
      <c r="J64" s="2"/>
    </row>
    <row r="65" spans="1:10" x14ac:dyDescent="0.35">
      <c r="A65" s="5">
        <v>90019229</v>
      </c>
      <c r="B65" s="13" t="s">
        <v>396</v>
      </c>
      <c r="C65" s="11">
        <v>45432</v>
      </c>
      <c r="D65" s="10" t="s">
        <v>262</v>
      </c>
      <c r="E65" s="5" t="s">
        <v>284</v>
      </c>
      <c r="F65" s="5" t="s">
        <v>258</v>
      </c>
      <c r="G65" s="5" t="s">
        <v>307</v>
      </c>
      <c r="H65" s="12" t="s">
        <v>397</v>
      </c>
      <c r="I65" s="2"/>
      <c r="J65" s="2"/>
    </row>
    <row r="66" spans="1:10" x14ac:dyDescent="0.35">
      <c r="A66" s="5">
        <v>90019426</v>
      </c>
      <c r="B66" s="13" t="s">
        <v>398</v>
      </c>
      <c r="C66" s="11">
        <v>45460</v>
      </c>
      <c r="D66" s="10" t="s">
        <v>256</v>
      </c>
      <c r="E66" s="5" t="s">
        <v>257</v>
      </c>
      <c r="F66" s="5" t="s">
        <v>258</v>
      </c>
      <c r="G66" s="5" t="s">
        <v>307</v>
      </c>
      <c r="H66" s="12" t="s">
        <v>399</v>
      </c>
      <c r="I66" s="2"/>
      <c r="J66" s="2"/>
    </row>
    <row r="67" spans="1:10" x14ac:dyDescent="0.35">
      <c r="A67" s="5">
        <v>90019444</v>
      </c>
      <c r="B67" s="13" t="s">
        <v>400</v>
      </c>
      <c r="C67" s="11">
        <v>45449</v>
      </c>
      <c r="D67" s="10" t="s">
        <v>301</v>
      </c>
      <c r="E67" s="5" t="s">
        <v>257</v>
      </c>
      <c r="F67" s="5" t="s">
        <v>258</v>
      </c>
      <c r="G67" s="5"/>
      <c r="H67" s="12" t="s">
        <v>401</v>
      </c>
      <c r="I67" s="4" t="s">
        <v>402</v>
      </c>
      <c r="J67" s="17">
        <v>46023</v>
      </c>
    </row>
    <row r="68" spans="1:10" x14ac:dyDescent="0.35">
      <c r="A68" s="5">
        <v>90019531</v>
      </c>
      <c r="B68" s="13" t="s">
        <v>403</v>
      </c>
      <c r="C68" s="11">
        <v>45474</v>
      </c>
      <c r="D68" s="10" t="s">
        <v>340</v>
      </c>
      <c r="E68" s="5" t="s">
        <v>257</v>
      </c>
      <c r="F68" s="5" t="s">
        <v>258</v>
      </c>
      <c r="G68" s="5" t="s">
        <v>307</v>
      </c>
      <c r="H68" s="12" t="s">
        <v>404</v>
      </c>
      <c r="I68" s="4" t="s">
        <v>405</v>
      </c>
      <c r="J68" s="17">
        <v>46082</v>
      </c>
    </row>
    <row r="69" spans="1:10" x14ac:dyDescent="0.35">
      <c r="A69" s="5">
        <v>90019537</v>
      </c>
      <c r="B69" s="13" t="s">
        <v>406</v>
      </c>
      <c r="C69" s="11">
        <v>45495</v>
      </c>
      <c r="D69" s="10" t="s">
        <v>340</v>
      </c>
      <c r="E69" s="5" t="s">
        <v>284</v>
      </c>
      <c r="F69" s="5" t="s">
        <v>258</v>
      </c>
      <c r="G69" s="5" t="s">
        <v>305</v>
      </c>
      <c r="H69" s="12" t="s">
        <v>407</v>
      </c>
      <c r="I69" s="2"/>
      <c r="J69" s="2"/>
    </row>
    <row r="70" spans="1:10" x14ac:dyDescent="0.35">
      <c r="A70" s="5">
        <v>90019683</v>
      </c>
      <c r="B70" s="13" t="s">
        <v>408</v>
      </c>
      <c r="C70" s="11">
        <v>45505</v>
      </c>
      <c r="D70" s="10" t="s">
        <v>262</v>
      </c>
      <c r="E70" s="5" t="s">
        <v>257</v>
      </c>
      <c r="F70" s="5" t="s">
        <v>258</v>
      </c>
      <c r="G70" s="5" t="s">
        <v>259</v>
      </c>
      <c r="H70" s="12" t="s">
        <v>409</v>
      </c>
      <c r="I70" s="2"/>
      <c r="J70" s="2"/>
    </row>
    <row r="71" spans="1:10" x14ac:dyDescent="0.35">
      <c r="A71" s="5">
        <v>90019684</v>
      </c>
      <c r="B71" s="13" t="s">
        <v>410</v>
      </c>
      <c r="C71" s="11">
        <v>45495</v>
      </c>
      <c r="D71" s="10" t="s">
        <v>256</v>
      </c>
      <c r="E71" s="5" t="s">
        <v>257</v>
      </c>
      <c r="F71" s="5" t="s">
        <v>258</v>
      </c>
      <c r="G71" s="5" t="s">
        <v>305</v>
      </c>
      <c r="H71" s="12" t="s">
        <v>407</v>
      </c>
      <c r="I71" s="2"/>
      <c r="J71" s="2"/>
    </row>
    <row r="72" spans="1:10" x14ac:dyDescent="0.35">
      <c r="A72" s="5">
        <v>90019771</v>
      </c>
      <c r="B72" s="13" t="s">
        <v>411</v>
      </c>
      <c r="C72" s="11">
        <v>45516</v>
      </c>
      <c r="D72" s="10" t="s">
        <v>269</v>
      </c>
      <c r="E72" s="5" t="s">
        <v>257</v>
      </c>
      <c r="F72" s="5" t="s">
        <v>258</v>
      </c>
      <c r="G72" s="5" t="s">
        <v>307</v>
      </c>
      <c r="H72" s="12" t="s">
        <v>412</v>
      </c>
      <c r="I72" s="2"/>
      <c r="J72" s="2"/>
    </row>
    <row r="73" spans="1:10" x14ac:dyDescent="0.35">
      <c r="A73" s="5">
        <v>90019815</v>
      </c>
      <c r="B73" s="13" t="s">
        <v>413</v>
      </c>
      <c r="C73" s="11">
        <v>45512</v>
      </c>
      <c r="D73" s="10" t="s">
        <v>287</v>
      </c>
      <c r="E73" s="5" t="s">
        <v>257</v>
      </c>
      <c r="F73" s="5" t="s">
        <v>258</v>
      </c>
      <c r="G73" s="5" t="s">
        <v>305</v>
      </c>
      <c r="H73" s="12" t="s">
        <v>414</v>
      </c>
      <c r="I73" s="2"/>
      <c r="J73" s="2"/>
    </row>
    <row r="74" spans="1:10" x14ac:dyDescent="0.35">
      <c r="A74" s="5">
        <v>90019920</v>
      </c>
      <c r="B74" s="13" t="s">
        <v>415</v>
      </c>
      <c r="C74" s="11">
        <v>45516</v>
      </c>
      <c r="D74" s="10" t="s">
        <v>330</v>
      </c>
      <c r="E74" s="5" t="s">
        <v>257</v>
      </c>
      <c r="F74" s="5" t="s">
        <v>258</v>
      </c>
      <c r="G74" s="5" t="s">
        <v>307</v>
      </c>
      <c r="H74" s="12" t="s">
        <v>412</v>
      </c>
      <c r="I74" s="2"/>
      <c r="J74" s="2"/>
    </row>
    <row r="75" spans="1:10" x14ac:dyDescent="0.35">
      <c r="A75" s="5">
        <v>90019968</v>
      </c>
      <c r="B75" s="13" t="s">
        <v>416</v>
      </c>
      <c r="C75" s="11">
        <v>45530</v>
      </c>
      <c r="D75" s="10" t="s">
        <v>291</v>
      </c>
      <c r="E75" s="5" t="s">
        <v>257</v>
      </c>
      <c r="F75" s="5" t="s">
        <v>258</v>
      </c>
      <c r="G75" s="5" t="s">
        <v>305</v>
      </c>
      <c r="H75" s="12" t="s">
        <v>417</v>
      </c>
      <c r="I75" s="2"/>
      <c r="J75" s="2"/>
    </row>
    <row r="76" spans="1:10" x14ac:dyDescent="0.35">
      <c r="A76" s="5">
        <v>90020493</v>
      </c>
      <c r="B76" s="13" t="s">
        <v>418</v>
      </c>
      <c r="C76" s="11">
        <v>45614</v>
      </c>
      <c r="D76" s="10" t="s">
        <v>272</v>
      </c>
      <c r="E76" s="5" t="s">
        <v>284</v>
      </c>
      <c r="F76" s="5" t="s">
        <v>258</v>
      </c>
      <c r="G76" s="5" t="s">
        <v>307</v>
      </c>
      <c r="H76" s="12" t="s">
        <v>419</v>
      </c>
      <c r="I76" s="2"/>
      <c r="J76" s="2"/>
    </row>
    <row r="77" spans="1:10" x14ac:dyDescent="0.35">
      <c r="A77" s="5">
        <v>90020494</v>
      </c>
      <c r="B77" s="13" t="s">
        <v>420</v>
      </c>
      <c r="C77" s="11">
        <v>45614</v>
      </c>
      <c r="D77" s="10" t="s">
        <v>272</v>
      </c>
      <c r="E77" s="5" t="s">
        <v>284</v>
      </c>
      <c r="F77" s="5" t="s">
        <v>258</v>
      </c>
      <c r="G77" s="5" t="s">
        <v>305</v>
      </c>
      <c r="H77" s="12" t="s">
        <v>419</v>
      </c>
      <c r="I77" s="2"/>
      <c r="J77" s="2"/>
    </row>
    <row r="78" spans="1:10" x14ac:dyDescent="0.35">
      <c r="A78" s="5">
        <v>90020715</v>
      </c>
      <c r="B78" s="13" t="s">
        <v>421</v>
      </c>
      <c r="C78" s="11">
        <v>45659</v>
      </c>
      <c r="D78" s="10" t="s">
        <v>266</v>
      </c>
      <c r="E78" s="5" t="s">
        <v>257</v>
      </c>
      <c r="F78" s="5" t="s">
        <v>258</v>
      </c>
      <c r="G78" s="5" t="s">
        <v>305</v>
      </c>
      <c r="H78" s="12" t="s">
        <v>422</v>
      </c>
      <c r="I78" s="2"/>
      <c r="J78" s="2"/>
    </row>
    <row r="79" spans="1:10" x14ac:dyDescent="0.35">
      <c r="A79" s="5">
        <v>90021066</v>
      </c>
      <c r="B79" s="13" t="s">
        <v>423</v>
      </c>
      <c r="C79" s="11">
        <v>45705</v>
      </c>
      <c r="D79" s="10" t="s">
        <v>301</v>
      </c>
      <c r="E79" s="5" t="s">
        <v>257</v>
      </c>
      <c r="F79" s="5" t="s">
        <v>258</v>
      </c>
      <c r="G79" s="5" t="s">
        <v>307</v>
      </c>
      <c r="H79" s="12" t="s">
        <v>424</v>
      </c>
      <c r="I79" s="2"/>
      <c r="J79" s="2"/>
    </row>
    <row r="80" spans="1:10" x14ac:dyDescent="0.35">
      <c r="A80" s="5">
        <v>90021314</v>
      </c>
      <c r="B80" s="13" t="s">
        <v>425</v>
      </c>
      <c r="C80" s="11">
        <v>45748</v>
      </c>
      <c r="D80" s="10" t="s">
        <v>340</v>
      </c>
      <c r="E80" s="5" t="s">
        <v>284</v>
      </c>
      <c r="F80" s="5" t="s">
        <v>258</v>
      </c>
      <c r="G80" s="5" t="s">
        <v>307</v>
      </c>
      <c r="H80" s="12" t="s">
        <v>426</v>
      </c>
      <c r="I80" s="2"/>
      <c r="J80" s="2"/>
    </row>
    <row r="81" spans="1:10" x14ac:dyDescent="0.35">
      <c r="A81" s="5">
        <v>90021430</v>
      </c>
      <c r="B81" s="13" t="s">
        <v>427</v>
      </c>
      <c r="C81" s="11">
        <v>45733</v>
      </c>
      <c r="D81" s="10" t="s">
        <v>301</v>
      </c>
      <c r="E81" s="5" t="s">
        <v>257</v>
      </c>
      <c r="F81" s="5" t="s">
        <v>258</v>
      </c>
      <c r="G81" s="5" t="s">
        <v>305</v>
      </c>
      <c r="H81" s="12" t="s">
        <v>428</v>
      </c>
      <c r="I81" s="2"/>
      <c r="J81" s="2"/>
    </row>
    <row r="82" spans="1:10" x14ac:dyDescent="0.35">
      <c r="A82" s="5">
        <v>90021736</v>
      </c>
      <c r="B82" s="13" t="s">
        <v>429</v>
      </c>
      <c r="C82" s="11">
        <v>45752</v>
      </c>
      <c r="D82" s="10" t="s">
        <v>291</v>
      </c>
      <c r="E82" s="5" t="s">
        <v>284</v>
      </c>
      <c r="F82" s="5" t="s">
        <v>258</v>
      </c>
      <c r="G82" s="5" t="s">
        <v>307</v>
      </c>
      <c r="H82" s="12" t="s">
        <v>430</v>
      </c>
      <c r="I82" s="2"/>
      <c r="J82" s="2"/>
    </row>
    <row r="83" spans="1:10" x14ac:dyDescent="0.35">
      <c r="A83" s="5">
        <v>90021848</v>
      </c>
      <c r="B83" s="13" t="s">
        <v>431</v>
      </c>
      <c r="C83" s="11">
        <v>45772</v>
      </c>
      <c r="D83" s="10" t="s">
        <v>272</v>
      </c>
      <c r="E83" s="5" t="s">
        <v>257</v>
      </c>
      <c r="F83" s="5" t="s">
        <v>258</v>
      </c>
      <c r="G83" s="5" t="s">
        <v>305</v>
      </c>
      <c r="H83" s="12" t="s">
        <v>432</v>
      </c>
      <c r="I83" s="2"/>
      <c r="J83" s="2"/>
    </row>
    <row r="84" spans="1:10" x14ac:dyDescent="0.35">
      <c r="A84" s="5">
        <v>90021900</v>
      </c>
      <c r="B84" s="13" t="s">
        <v>433</v>
      </c>
      <c r="C84" s="11">
        <v>45782</v>
      </c>
      <c r="D84" s="10" t="s">
        <v>269</v>
      </c>
      <c r="E84" s="5" t="s">
        <v>257</v>
      </c>
      <c r="F84" s="5" t="s">
        <v>258</v>
      </c>
      <c r="G84" s="5" t="s">
        <v>305</v>
      </c>
      <c r="H84" s="12" t="s">
        <v>434</v>
      </c>
      <c r="I84" s="2"/>
      <c r="J84" s="2"/>
    </row>
    <row r="85" spans="1:10" x14ac:dyDescent="0.35">
      <c r="A85" s="5">
        <v>90021913</v>
      </c>
      <c r="B85" s="13" t="s">
        <v>435</v>
      </c>
      <c r="C85" s="11">
        <v>45796</v>
      </c>
      <c r="D85" s="10" t="s">
        <v>330</v>
      </c>
      <c r="E85" s="5" t="s">
        <v>257</v>
      </c>
      <c r="F85" s="5" t="s">
        <v>258</v>
      </c>
      <c r="G85" s="5" t="s">
        <v>305</v>
      </c>
      <c r="H85" s="12" t="s">
        <v>436</v>
      </c>
      <c r="I85" s="2"/>
      <c r="J85" s="2"/>
    </row>
    <row r="86" spans="1:10" x14ac:dyDescent="0.35">
      <c r="A86" s="5">
        <v>90022715</v>
      </c>
      <c r="B86" s="13" t="s">
        <v>437</v>
      </c>
      <c r="C86" s="11">
        <v>45876</v>
      </c>
      <c r="D86" s="10" t="s">
        <v>262</v>
      </c>
      <c r="E86" s="5" t="s">
        <v>257</v>
      </c>
      <c r="F86" s="5" t="s">
        <v>258</v>
      </c>
      <c r="G86" s="5" t="s">
        <v>305</v>
      </c>
      <c r="H86" s="12" t="s">
        <v>438</v>
      </c>
      <c r="I86" s="2"/>
      <c r="J86" s="2"/>
    </row>
    <row r="87" spans="1:10" x14ac:dyDescent="0.35">
      <c r="A87" s="3">
        <v>90022717</v>
      </c>
      <c r="B87" s="13" t="s">
        <v>439</v>
      </c>
      <c r="C87" s="6">
        <v>45894</v>
      </c>
      <c r="D87" s="10" t="s">
        <v>291</v>
      </c>
      <c r="E87" s="5" t="s">
        <v>284</v>
      </c>
      <c r="F87" s="5" t="s">
        <v>258</v>
      </c>
      <c r="G87" s="3" t="s">
        <v>307</v>
      </c>
      <c r="H87" s="12" t="s">
        <v>440</v>
      </c>
      <c r="I87" s="2"/>
      <c r="J87" s="2"/>
    </row>
    <row r="88" spans="1:10" x14ac:dyDescent="0.35">
      <c r="A88" s="3">
        <v>90022719</v>
      </c>
      <c r="B88" s="13" t="s">
        <v>441</v>
      </c>
      <c r="C88" s="6">
        <v>45755</v>
      </c>
      <c r="D88" s="10" t="s">
        <v>272</v>
      </c>
      <c r="E88" s="5" t="s">
        <v>284</v>
      </c>
      <c r="F88" s="5" t="s">
        <v>258</v>
      </c>
      <c r="G88" s="5" t="s">
        <v>305</v>
      </c>
      <c r="H88" s="12" t="s">
        <v>442</v>
      </c>
      <c r="I88" s="2"/>
      <c r="J88" s="2"/>
    </row>
    <row r="89" spans="1:10" x14ac:dyDescent="0.35">
      <c r="A89" s="3">
        <v>90022720</v>
      </c>
      <c r="B89" s="13" t="s">
        <v>443</v>
      </c>
      <c r="C89" s="6">
        <v>45755</v>
      </c>
      <c r="D89" s="10" t="s">
        <v>287</v>
      </c>
      <c r="E89" s="5" t="s">
        <v>284</v>
      </c>
      <c r="F89" s="5" t="s">
        <v>258</v>
      </c>
      <c r="G89" s="3" t="s">
        <v>307</v>
      </c>
      <c r="H89" s="12" t="s">
        <v>442</v>
      </c>
      <c r="I89" s="2"/>
      <c r="J89" s="2"/>
    </row>
    <row r="90" spans="1:10" x14ac:dyDescent="0.35">
      <c r="A90" s="5">
        <v>90022817</v>
      </c>
      <c r="B90" s="13" t="s">
        <v>444</v>
      </c>
      <c r="C90" s="11">
        <v>45887</v>
      </c>
      <c r="D90" s="10" t="s">
        <v>315</v>
      </c>
      <c r="E90" s="5" t="s">
        <v>257</v>
      </c>
      <c r="F90" s="5" t="s">
        <v>258</v>
      </c>
      <c r="G90" s="5" t="s">
        <v>305</v>
      </c>
      <c r="H90" s="12" t="s">
        <v>445</v>
      </c>
      <c r="I90" s="2"/>
      <c r="J90" s="2"/>
    </row>
    <row r="91" spans="1:10" x14ac:dyDescent="0.35">
      <c r="A91" s="3">
        <v>90023411</v>
      </c>
      <c r="B91" s="13" t="s">
        <v>446</v>
      </c>
      <c r="C91" s="6">
        <v>45931</v>
      </c>
      <c r="D91" s="10" t="s">
        <v>266</v>
      </c>
      <c r="E91" s="3" t="s">
        <v>257</v>
      </c>
      <c r="F91" s="3" t="s">
        <v>258</v>
      </c>
      <c r="G91" s="3" t="s">
        <v>307</v>
      </c>
      <c r="H91" s="7" t="s">
        <v>447</v>
      </c>
      <c r="I91" s="2"/>
      <c r="J91" s="2"/>
    </row>
    <row r="92" spans="1:10" x14ac:dyDescent="0.35">
      <c r="A92" s="3">
        <v>90023413</v>
      </c>
      <c r="B92" s="13" t="s">
        <v>448</v>
      </c>
      <c r="C92" s="6">
        <v>45931</v>
      </c>
      <c r="D92" s="2" t="s">
        <v>291</v>
      </c>
      <c r="E92" s="3" t="s">
        <v>257</v>
      </c>
      <c r="F92" s="3" t="s">
        <v>258</v>
      </c>
      <c r="G92" s="3" t="s">
        <v>307</v>
      </c>
      <c r="H92" s="7" t="s">
        <v>447</v>
      </c>
      <c r="I92" s="2"/>
      <c r="J92" s="2"/>
    </row>
    <row r="93" spans="1:10" x14ac:dyDescent="0.35">
      <c r="A93" s="3">
        <v>90023414</v>
      </c>
      <c r="B93" s="13" t="s">
        <v>449</v>
      </c>
      <c r="C93" s="6">
        <v>45931</v>
      </c>
      <c r="D93" s="2" t="s">
        <v>295</v>
      </c>
      <c r="E93" s="3" t="s">
        <v>257</v>
      </c>
      <c r="F93" s="3" t="s">
        <v>258</v>
      </c>
      <c r="G93" s="3" t="s">
        <v>307</v>
      </c>
      <c r="H93" s="7" t="s">
        <v>447</v>
      </c>
      <c r="I93" s="2"/>
      <c r="J93" s="2"/>
    </row>
    <row r="94" spans="1:10" x14ac:dyDescent="0.35">
      <c r="A94" s="3">
        <v>90023583</v>
      </c>
      <c r="B94" s="13" t="s">
        <v>450</v>
      </c>
      <c r="C94" s="6">
        <v>45946</v>
      </c>
      <c r="D94" s="2" t="s">
        <v>287</v>
      </c>
      <c r="E94" s="3" t="s">
        <v>284</v>
      </c>
      <c r="F94" s="3" t="s">
        <v>258</v>
      </c>
      <c r="G94" s="3" t="s">
        <v>305</v>
      </c>
      <c r="H94" s="7" t="s">
        <v>451</v>
      </c>
      <c r="I94" s="2"/>
      <c r="J94" s="2"/>
    </row>
    <row r="95" spans="1:10" x14ac:dyDescent="0.35">
      <c r="A95" s="3">
        <v>90023586</v>
      </c>
      <c r="B95" s="13" t="s">
        <v>452</v>
      </c>
      <c r="C95" s="6">
        <v>45946</v>
      </c>
      <c r="D95" s="2" t="s">
        <v>262</v>
      </c>
      <c r="E95" s="3" t="s">
        <v>257</v>
      </c>
      <c r="F95" s="3" t="s">
        <v>258</v>
      </c>
      <c r="G95" s="2"/>
      <c r="H95" s="7" t="s">
        <v>451</v>
      </c>
      <c r="I95" s="2" t="s">
        <v>338</v>
      </c>
      <c r="J95" s="17">
        <v>46069</v>
      </c>
    </row>
    <row r="96" spans="1:10" ht="15.5" x14ac:dyDescent="0.35">
      <c r="A96" s="16">
        <v>90023810</v>
      </c>
      <c r="B96" s="13" t="s">
        <v>453</v>
      </c>
      <c r="C96" s="6">
        <v>45964</v>
      </c>
      <c r="D96" s="2" t="s">
        <v>262</v>
      </c>
      <c r="E96" s="3" t="s">
        <v>284</v>
      </c>
      <c r="F96" s="3" t="s">
        <v>258</v>
      </c>
      <c r="G96" s="3" t="s">
        <v>307</v>
      </c>
      <c r="H96" s="7" t="s">
        <v>454</v>
      </c>
      <c r="I96" s="2"/>
      <c r="J96" s="2"/>
    </row>
    <row r="97" spans="1:10" ht="15.5" x14ac:dyDescent="0.35">
      <c r="A97" s="16">
        <v>90023811</v>
      </c>
      <c r="B97" s="13" t="s">
        <v>455</v>
      </c>
      <c r="C97" s="6">
        <v>45964</v>
      </c>
      <c r="D97" s="2" t="s">
        <v>262</v>
      </c>
      <c r="E97" s="3" t="s">
        <v>284</v>
      </c>
      <c r="F97" s="3" t="s">
        <v>258</v>
      </c>
      <c r="G97" s="3" t="s">
        <v>305</v>
      </c>
      <c r="H97" s="7" t="s">
        <v>454</v>
      </c>
      <c r="I97" s="2"/>
      <c r="J97" s="2"/>
    </row>
    <row r="98" spans="1:10" ht="15.5" x14ac:dyDescent="0.35">
      <c r="A98" s="16">
        <v>90024419</v>
      </c>
      <c r="B98" s="2" t="s">
        <v>456</v>
      </c>
      <c r="C98" s="6">
        <v>46013</v>
      </c>
      <c r="D98" s="2" t="s">
        <v>301</v>
      </c>
      <c r="E98" s="3" t="s">
        <v>257</v>
      </c>
      <c r="F98" s="3" t="s">
        <v>258</v>
      </c>
      <c r="G98" s="3" t="s">
        <v>307</v>
      </c>
      <c r="H98" s="7" t="s">
        <v>457</v>
      </c>
      <c r="I98" s="2"/>
      <c r="J98" s="2"/>
    </row>
    <row r="99" spans="1:10" ht="15.5" x14ac:dyDescent="0.35">
      <c r="A99" s="16">
        <v>90024583</v>
      </c>
      <c r="B99" s="2" t="s">
        <v>458</v>
      </c>
      <c r="C99" s="6">
        <v>46027</v>
      </c>
      <c r="D99" s="2" t="s">
        <v>287</v>
      </c>
      <c r="E99" s="3" t="s">
        <v>257</v>
      </c>
      <c r="F99" s="3" t="s">
        <v>258</v>
      </c>
      <c r="G99" s="3" t="s">
        <v>307</v>
      </c>
      <c r="H99" s="7" t="s">
        <v>459</v>
      </c>
      <c r="I99" s="2"/>
      <c r="J99" s="2"/>
    </row>
    <row r="100" spans="1:10" ht="15.5" x14ac:dyDescent="0.35">
      <c r="A100" s="16">
        <v>90024584</v>
      </c>
      <c r="B100" s="2" t="s">
        <v>460</v>
      </c>
      <c r="C100" s="6">
        <v>46027</v>
      </c>
      <c r="D100" s="10" t="s">
        <v>281</v>
      </c>
      <c r="E100" s="3" t="s">
        <v>257</v>
      </c>
      <c r="F100" s="3" t="s">
        <v>258</v>
      </c>
      <c r="G100" s="3" t="s">
        <v>307</v>
      </c>
      <c r="H100" s="7" t="s">
        <v>459</v>
      </c>
      <c r="I100" s="2"/>
      <c r="J100" s="2"/>
    </row>
    <row r="101" spans="1:10" ht="15.5" x14ac:dyDescent="0.35">
      <c r="A101" s="16">
        <v>90024586</v>
      </c>
      <c r="B101" s="2" t="s">
        <v>461</v>
      </c>
      <c r="C101" s="6">
        <v>46027</v>
      </c>
      <c r="D101" s="2" t="s">
        <v>281</v>
      </c>
      <c r="E101" s="3" t="s">
        <v>257</v>
      </c>
      <c r="F101" s="3" t="s">
        <v>258</v>
      </c>
      <c r="G101" s="3" t="s">
        <v>307</v>
      </c>
      <c r="H101" s="7" t="s">
        <v>459</v>
      </c>
      <c r="I101" s="2"/>
      <c r="J101" s="2"/>
    </row>
    <row r="102" spans="1:10" ht="15.5" x14ac:dyDescent="0.35">
      <c r="A102" s="16">
        <v>90024589</v>
      </c>
      <c r="B102" s="2" t="s">
        <v>462</v>
      </c>
      <c r="C102" s="6">
        <v>46027</v>
      </c>
      <c r="D102" s="2" t="s">
        <v>340</v>
      </c>
      <c r="E102" s="3" t="s">
        <v>257</v>
      </c>
      <c r="F102" s="3" t="s">
        <v>258</v>
      </c>
      <c r="G102" s="3" t="s">
        <v>307</v>
      </c>
      <c r="H102" s="7" t="s">
        <v>459</v>
      </c>
      <c r="I102" s="2"/>
      <c r="J102" s="2"/>
    </row>
    <row r="103" spans="1:10" ht="15.5" x14ac:dyDescent="0.35">
      <c r="A103" s="16">
        <v>90024687</v>
      </c>
      <c r="B103" s="2" t="s">
        <v>463</v>
      </c>
      <c r="C103" s="6">
        <v>46034</v>
      </c>
      <c r="D103" s="2" t="s">
        <v>330</v>
      </c>
      <c r="E103" s="3" t="s">
        <v>257</v>
      </c>
      <c r="F103" s="3" t="s">
        <v>258</v>
      </c>
      <c r="G103" s="3" t="s">
        <v>305</v>
      </c>
      <c r="H103" s="7" t="s">
        <v>464</v>
      </c>
      <c r="I103" s="2"/>
      <c r="J103" s="2"/>
    </row>
    <row r="104" spans="1:10" x14ac:dyDescent="0.35">
      <c r="A104" s="3">
        <v>90024772</v>
      </c>
      <c r="B104" s="2" t="s">
        <v>465</v>
      </c>
      <c r="C104" s="6">
        <v>46041</v>
      </c>
      <c r="D104" s="10" t="s">
        <v>281</v>
      </c>
      <c r="E104" s="3" t="s">
        <v>257</v>
      </c>
      <c r="F104" s="3" t="s">
        <v>258</v>
      </c>
      <c r="G104" s="3" t="s">
        <v>305</v>
      </c>
      <c r="H104" s="7" t="s">
        <v>466</v>
      </c>
      <c r="I104" s="2"/>
      <c r="J104" s="2"/>
    </row>
    <row r="105" spans="1:10" x14ac:dyDescent="0.35">
      <c r="A105" s="3">
        <v>90024773</v>
      </c>
      <c r="B105" s="2" t="s">
        <v>467</v>
      </c>
      <c r="C105" s="6">
        <v>46041</v>
      </c>
      <c r="D105" s="2" t="s">
        <v>262</v>
      </c>
      <c r="E105" s="3" t="s">
        <v>257</v>
      </c>
      <c r="F105" s="3" t="s">
        <v>258</v>
      </c>
      <c r="G105" s="3" t="s">
        <v>305</v>
      </c>
      <c r="H105" s="7" t="s">
        <v>466</v>
      </c>
      <c r="I105" s="2"/>
      <c r="J105" s="2"/>
    </row>
    <row r="106" spans="1:10" x14ac:dyDescent="0.35">
      <c r="A106" s="3">
        <v>90024777</v>
      </c>
      <c r="B106" s="2" t="s">
        <v>468</v>
      </c>
      <c r="C106" s="6">
        <v>46041</v>
      </c>
      <c r="D106" s="2" t="s">
        <v>295</v>
      </c>
      <c r="E106" s="3" t="s">
        <v>257</v>
      </c>
      <c r="F106" s="3" t="s">
        <v>258</v>
      </c>
      <c r="G106" s="3" t="s">
        <v>305</v>
      </c>
      <c r="H106" s="7" t="s">
        <v>466</v>
      </c>
      <c r="I106" s="2"/>
      <c r="J106" s="3"/>
    </row>
    <row r="107" spans="1:10" x14ac:dyDescent="0.35">
      <c r="A107" s="3">
        <v>90024779</v>
      </c>
      <c r="B107" s="2" t="s">
        <v>469</v>
      </c>
      <c r="C107" s="6">
        <v>46041</v>
      </c>
      <c r="D107" s="2" t="s">
        <v>266</v>
      </c>
      <c r="E107" s="3" t="s">
        <v>257</v>
      </c>
      <c r="F107" s="3" t="s">
        <v>258</v>
      </c>
      <c r="G107" s="3" t="s">
        <v>305</v>
      </c>
      <c r="H107" s="7" t="s">
        <v>466</v>
      </c>
      <c r="I107" s="2"/>
      <c r="J107" s="2"/>
    </row>
    <row r="108" spans="1:10" x14ac:dyDescent="0.35">
      <c r="A108" s="3">
        <v>90024876</v>
      </c>
      <c r="B108" s="2" t="s">
        <v>470</v>
      </c>
      <c r="C108" s="6">
        <v>46055</v>
      </c>
      <c r="D108" s="2" t="s">
        <v>272</v>
      </c>
      <c r="E108" s="3" t="s">
        <v>257</v>
      </c>
      <c r="F108" s="3" t="s">
        <v>258</v>
      </c>
      <c r="G108" s="3" t="s">
        <v>307</v>
      </c>
      <c r="H108" s="7" t="s">
        <v>471</v>
      </c>
      <c r="I108" s="2"/>
      <c r="J108" s="2"/>
    </row>
    <row r="109" spans="1:10" x14ac:dyDescent="0.35">
      <c r="A109" s="3">
        <v>90024899</v>
      </c>
      <c r="B109" s="2" t="s">
        <v>472</v>
      </c>
      <c r="C109" s="6">
        <v>46055</v>
      </c>
      <c r="D109" s="2" t="s">
        <v>330</v>
      </c>
      <c r="E109" s="3" t="s">
        <v>257</v>
      </c>
      <c r="F109" s="3" t="s">
        <v>258</v>
      </c>
      <c r="G109" s="3" t="s">
        <v>307</v>
      </c>
      <c r="H109" s="7" t="s">
        <v>471</v>
      </c>
      <c r="I109" s="2"/>
      <c r="J109" s="17"/>
    </row>
    <row r="110" spans="1:10" x14ac:dyDescent="0.35">
      <c r="A110" s="3">
        <v>90024902</v>
      </c>
      <c r="B110" s="2" t="s">
        <v>473</v>
      </c>
      <c r="C110" s="6">
        <v>46055</v>
      </c>
      <c r="D110" s="2" t="s">
        <v>272</v>
      </c>
      <c r="E110" s="3" t="s">
        <v>257</v>
      </c>
      <c r="F110" s="3" t="s">
        <v>258</v>
      </c>
      <c r="G110" s="3" t="s">
        <v>307</v>
      </c>
      <c r="H110" s="7" t="s">
        <v>471</v>
      </c>
      <c r="I110" s="2"/>
      <c r="J110" s="2"/>
    </row>
    <row r="111" spans="1:10" x14ac:dyDescent="0.35">
      <c r="A111" s="3">
        <v>90024906</v>
      </c>
      <c r="B111" s="2" t="s">
        <v>474</v>
      </c>
      <c r="C111" s="6">
        <v>46055</v>
      </c>
      <c r="D111" s="14" t="s">
        <v>278</v>
      </c>
      <c r="E111" s="3" t="s">
        <v>257</v>
      </c>
      <c r="F111" s="3" t="s">
        <v>258</v>
      </c>
      <c r="G111" s="5" t="s">
        <v>259</v>
      </c>
      <c r="H111" s="7" t="s">
        <v>471</v>
      </c>
      <c r="I111" s="2"/>
      <c r="J111" s="18"/>
    </row>
    <row r="112" spans="1:10" x14ac:dyDescent="0.35">
      <c r="A112" s="3">
        <v>90024907</v>
      </c>
      <c r="B112" s="2" t="s">
        <v>475</v>
      </c>
      <c r="C112" s="6">
        <v>46055</v>
      </c>
      <c r="D112" s="2" t="s">
        <v>278</v>
      </c>
      <c r="E112" s="3" t="s">
        <v>257</v>
      </c>
      <c r="F112" s="3" t="s">
        <v>258</v>
      </c>
      <c r="G112" s="3" t="s">
        <v>305</v>
      </c>
      <c r="H112" s="7" t="s">
        <v>471</v>
      </c>
      <c r="I112" s="2"/>
      <c r="J112" s="2"/>
    </row>
    <row r="113" spans="1:10" x14ac:dyDescent="0.35">
      <c r="A113" s="3">
        <v>90024908</v>
      </c>
      <c r="B113" s="2" t="s">
        <v>476</v>
      </c>
      <c r="C113" s="6">
        <v>46055</v>
      </c>
      <c r="D113" s="2" t="s">
        <v>272</v>
      </c>
      <c r="E113" s="3" t="s">
        <v>257</v>
      </c>
      <c r="F113" s="3" t="s">
        <v>258</v>
      </c>
      <c r="G113" s="3" t="s">
        <v>305</v>
      </c>
      <c r="H113" s="7" t="s">
        <v>471</v>
      </c>
      <c r="I113" s="2"/>
      <c r="J113" s="2"/>
    </row>
    <row r="114" spans="1:10" x14ac:dyDescent="0.35">
      <c r="A114" s="3">
        <v>90024999</v>
      </c>
      <c r="B114" s="2" t="s">
        <v>477</v>
      </c>
      <c r="C114" s="6">
        <v>46062</v>
      </c>
      <c r="D114" s="2" t="s">
        <v>262</v>
      </c>
      <c r="E114" s="3" t="s">
        <v>257</v>
      </c>
      <c r="F114" s="3" t="s">
        <v>258</v>
      </c>
      <c r="G114" s="3" t="s">
        <v>307</v>
      </c>
      <c r="H114" s="7" t="s">
        <v>478</v>
      </c>
      <c r="I114" s="2"/>
      <c r="J114" s="2"/>
    </row>
    <row r="115" spans="1:10" x14ac:dyDescent="0.35">
      <c r="A115" s="3">
        <v>90025000</v>
      </c>
      <c r="B115" s="2" t="s">
        <v>479</v>
      </c>
      <c r="C115" s="6">
        <v>46062</v>
      </c>
      <c r="D115" s="2" t="s">
        <v>351</v>
      </c>
      <c r="E115" s="3" t="s">
        <v>284</v>
      </c>
      <c r="F115" s="3" t="s">
        <v>258</v>
      </c>
      <c r="G115" s="3" t="s">
        <v>307</v>
      </c>
      <c r="H115" s="7" t="s">
        <v>478</v>
      </c>
      <c r="I115" s="2"/>
      <c r="J115" s="2"/>
    </row>
    <row r="116" spans="1:10" ht="15.5" x14ac:dyDescent="0.35">
      <c r="A116" s="16">
        <v>90025157</v>
      </c>
      <c r="B116" s="2" t="s">
        <v>480</v>
      </c>
      <c r="C116" s="6">
        <v>46069</v>
      </c>
      <c r="D116" s="2" t="s">
        <v>295</v>
      </c>
      <c r="E116" s="3" t="s">
        <v>257</v>
      </c>
      <c r="F116" s="3" t="s">
        <v>258</v>
      </c>
      <c r="G116" s="3" t="s">
        <v>305</v>
      </c>
      <c r="H116" s="7" t="s">
        <v>481</v>
      </c>
      <c r="I116" s="2"/>
      <c r="J116" s="17"/>
    </row>
    <row r="117" spans="1:10" ht="15.5" x14ac:dyDescent="0.35">
      <c r="A117" s="16">
        <v>90025185</v>
      </c>
      <c r="B117" s="2" t="s">
        <v>482</v>
      </c>
      <c r="C117" s="6">
        <v>46076</v>
      </c>
      <c r="D117" s="2" t="s">
        <v>295</v>
      </c>
      <c r="E117" s="3" t="s">
        <v>257</v>
      </c>
      <c r="F117" s="3" t="s">
        <v>258</v>
      </c>
      <c r="G117" s="3" t="s">
        <v>307</v>
      </c>
      <c r="H117" s="7" t="s">
        <v>483</v>
      </c>
      <c r="I117" s="2"/>
      <c r="J117" s="2"/>
    </row>
    <row r="118" spans="1:10" ht="15.5" x14ac:dyDescent="0.35">
      <c r="A118" s="16">
        <v>90025206</v>
      </c>
      <c r="B118" s="2" t="s">
        <v>484</v>
      </c>
      <c r="C118" s="6">
        <v>46076</v>
      </c>
      <c r="D118" s="2" t="s">
        <v>287</v>
      </c>
      <c r="E118" s="3" t="s">
        <v>257</v>
      </c>
      <c r="F118" s="3" t="s">
        <v>258</v>
      </c>
      <c r="G118" s="3" t="s">
        <v>307</v>
      </c>
      <c r="H118" s="7" t="s">
        <v>483</v>
      </c>
      <c r="I118" s="2"/>
      <c r="J118" s="2"/>
    </row>
    <row r="119" spans="1:10" ht="15.5" x14ac:dyDescent="0.35">
      <c r="A119" s="16">
        <v>90025207</v>
      </c>
      <c r="B119" s="2" t="s">
        <v>485</v>
      </c>
      <c r="C119" s="25">
        <v>46076</v>
      </c>
      <c r="D119" s="2" t="s">
        <v>256</v>
      </c>
      <c r="E119" s="3" t="s">
        <v>257</v>
      </c>
      <c r="F119" s="3" t="s">
        <v>258</v>
      </c>
      <c r="G119" s="3" t="s">
        <v>307</v>
      </c>
      <c r="H119" s="7" t="s">
        <v>483</v>
      </c>
      <c r="I119" s="2"/>
      <c r="J119" s="2"/>
    </row>
    <row r="120" spans="1:10" ht="15.5" x14ac:dyDescent="0.35">
      <c r="A120" s="16">
        <v>90025208</v>
      </c>
      <c r="B120" s="13" t="s">
        <v>486</v>
      </c>
      <c r="C120" s="25">
        <v>46076</v>
      </c>
      <c r="D120" s="13" t="s">
        <v>315</v>
      </c>
      <c r="E120" s="26" t="s">
        <v>257</v>
      </c>
      <c r="F120" s="26" t="s">
        <v>258</v>
      </c>
      <c r="G120" s="26" t="s">
        <v>307</v>
      </c>
      <c r="H120" s="27" t="s">
        <v>483</v>
      </c>
      <c r="I120" s="13"/>
      <c r="J120" s="19"/>
    </row>
    <row r="121" spans="1:10" ht="15.5" x14ac:dyDescent="0.35">
      <c r="A121" s="16">
        <v>90025213</v>
      </c>
      <c r="B121" s="2" t="s">
        <v>487</v>
      </c>
      <c r="C121" s="6">
        <v>46076</v>
      </c>
      <c r="D121" s="2" t="s">
        <v>351</v>
      </c>
      <c r="E121" s="3" t="s">
        <v>257</v>
      </c>
      <c r="F121" s="3" t="s">
        <v>258</v>
      </c>
      <c r="G121" s="3" t="s">
        <v>305</v>
      </c>
      <c r="H121" s="7" t="s">
        <v>483</v>
      </c>
      <c r="I121" s="2"/>
      <c r="J121" s="2"/>
    </row>
    <row r="122" spans="1:10" ht="15.5" x14ac:dyDescent="0.35">
      <c r="A122" s="16">
        <v>90025260</v>
      </c>
      <c r="B122" s="2" t="s">
        <v>488</v>
      </c>
      <c r="C122" s="6">
        <v>46083</v>
      </c>
      <c r="D122" s="2" t="s">
        <v>287</v>
      </c>
      <c r="E122" s="3" t="s">
        <v>284</v>
      </c>
      <c r="F122" s="3" t="s">
        <v>258</v>
      </c>
      <c r="G122" s="3" t="s">
        <v>259</v>
      </c>
      <c r="H122" s="7" t="s">
        <v>489</v>
      </c>
      <c r="I122" s="2"/>
      <c r="J122" s="2"/>
    </row>
    <row r="123" spans="1:10" ht="15.5" x14ac:dyDescent="0.35">
      <c r="A123" s="16">
        <v>90025298</v>
      </c>
      <c r="B123" s="2" t="s">
        <v>490</v>
      </c>
      <c r="C123" s="6">
        <v>46083</v>
      </c>
      <c r="D123" s="2" t="s">
        <v>291</v>
      </c>
      <c r="E123" s="3" t="s">
        <v>257</v>
      </c>
      <c r="F123" s="3" t="s">
        <v>258</v>
      </c>
      <c r="G123" s="3" t="s">
        <v>305</v>
      </c>
      <c r="H123" s="7" t="s">
        <v>489</v>
      </c>
      <c r="I123" s="2"/>
      <c r="J123" s="2"/>
    </row>
    <row r="124" spans="1:10" ht="15.5" x14ac:dyDescent="0.35">
      <c r="A124" s="16">
        <v>90025305</v>
      </c>
      <c r="B124" s="2" t="s">
        <v>491</v>
      </c>
      <c r="C124" s="6">
        <v>46083</v>
      </c>
      <c r="D124" s="2" t="s">
        <v>256</v>
      </c>
      <c r="E124" s="3" t="s">
        <v>257</v>
      </c>
      <c r="F124" s="3" t="s">
        <v>258</v>
      </c>
      <c r="G124" s="3" t="s">
        <v>305</v>
      </c>
      <c r="H124" s="7" t="s">
        <v>489</v>
      </c>
      <c r="I124" s="2"/>
      <c r="J124" s="2"/>
    </row>
    <row r="125" spans="1:10" ht="15.5" x14ac:dyDescent="0.35">
      <c r="A125" s="16">
        <v>90025316</v>
      </c>
      <c r="B125" s="2" t="s">
        <v>492</v>
      </c>
      <c r="C125" s="6">
        <v>46083</v>
      </c>
      <c r="D125" s="2" t="s">
        <v>269</v>
      </c>
      <c r="E125" s="3" t="s">
        <v>257</v>
      </c>
      <c r="F125" s="3" t="s">
        <v>258</v>
      </c>
      <c r="G125" s="3" t="s">
        <v>307</v>
      </c>
      <c r="H125" s="7" t="s">
        <v>489</v>
      </c>
      <c r="I125" s="2"/>
      <c r="J125" s="2"/>
    </row>
    <row r="126" spans="1:10" x14ac:dyDescent="0.35">
      <c r="A126" s="3">
        <v>90025454</v>
      </c>
      <c r="B126" s="2" t="s">
        <v>493</v>
      </c>
      <c r="C126" s="6">
        <v>46097</v>
      </c>
      <c r="D126" s="2" t="s">
        <v>330</v>
      </c>
      <c r="E126" s="3" t="s">
        <v>257</v>
      </c>
      <c r="F126" s="3" t="s">
        <v>258</v>
      </c>
      <c r="G126" s="3" t="s">
        <v>259</v>
      </c>
      <c r="H126" s="7" t="s">
        <v>494</v>
      </c>
      <c r="I126" s="2"/>
      <c r="J126" s="2"/>
    </row>
    <row r="127" spans="1:10" x14ac:dyDescent="0.35">
      <c r="A127" s="3">
        <v>90025455</v>
      </c>
      <c r="B127" s="2" t="s">
        <v>495</v>
      </c>
      <c r="C127" s="6">
        <v>46097</v>
      </c>
      <c r="D127" s="2" t="s">
        <v>330</v>
      </c>
      <c r="E127" s="3" t="s">
        <v>257</v>
      </c>
      <c r="F127" s="3" t="s">
        <v>258</v>
      </c>
      <c r="G127" s="3" t="s">
        <v>259</v>
      </c>
      <c r="H127" s="7" t="s">
        <v>494</v>
      </c>
      <c r="I127" s="2"/>
      <c r="J127" s="2"/>
    </row>
    <row r="128" spans="1:10" x14ac:dyDescent="0.35">
      <c r="A128" s="3">
        <v>90025461</v>
      </c>
      <c r="B128" s="2" t="s">
        <v>496</v>
      </c>
      <c r="C128" s="6">
        <v>46097</v>
      </c>
      <c r="D128" s="2" t="s">
        <v>287</v>
      </c>
      <c r="E128" s="3" t="s">
        <v>257</v>
      </c>
      <c r="F128" s="3" t="s">
        <v>258</v>
      </c>
      <c r="G128" s="3" t="s">
        <v>263</v>
      </c>
      <c r="H128" s="7" t="s">
        <v>494</v>
      </c>
      <c r="I128" s="2"/>
      <c r="J128" s="2"/>
    </row>
    <row r="129" spans="1:10" x14ac:dyDescent="0.35">
      <c r="A129" s="3">
        <v>90025462</v>
      </c>
      <c r="B129" s="2" t="s">
        <v>497</v>
      </c>
      <c r="C129" s="6">
        <v>46097</v>
      </c>
      <c r="D129" s="10" t="s">
        <v>256</v>
      </c>
      <c r="E129" s="3" t="s">
        <v>257</v>
      </c>
      <c r="F129" s="3" t="s">
        <v>258</v>
      </c>
      <c r="G129" s="3" t="s">
        <v>263</v>
      </c>
      <c r="H129" s="7" t="s">
        <v>494</v>
      </c>
      <c r="I129" s="2"/>
      <c r="J129" s="2"/>
    </row>
    <row r="130" spans="1:10" x14ac:dyDescent="0.35">
      <c r="A130" s="3">
        <v>90025516</v>
      </c>
      <c r="B130" s="2" t="s">
        <v>498</v>
      </c>
      <c r="C130" s="6">
        <v>46097</v>
      </c>
      <c r="D130" s="2" t="s">
        <v>269</v>
      </c>
      <c r="E130" s="3" t="s">
        <v>257</v>
      </c>
      <c r="F130" s="3" t="s">
        <v>258</v>
      </c>
      <c r="G130" s="3" t="s">
        <v>263</v>
      </c>
      <c r="H130" s="7" t="s">
        <v>494</v>
      </c>
      <c r="I130" s="2"/>
      <c r="J130" s="2"/>
    </row>
    <row r="131" spans="1:10" x14ac:dyDescent="0.35">
      <c r="A131" s="3">
        <v>90025729</v>
      </c>
      <c r="B131" s="2" t="s">
        <v>499</v>
      </c>
      <c r="C131" s="6">
        <v>46113</v>
      </c>
      <c r="D131" s="2" t="s">
        <v>269</v>
      </c>
      <c r="E131" s="3" t="s">
        <v>257</v>
      </c>
      <c r="F131" s="3" t="s">
        <v>258</v>
      </c>
      <c r="G131" s="3" t="s">
        <v>305</v>
      </c>
      <c r="H131" s="7" t="s">
        <v>500</v>
      </c>
      <c r="I131" s="2"/>
      <c r="J131" s="2"/>
    </row>
    <row r="132" spans="1:10" x14ac:dyDescent="0.35">
      <c r="A132" s="3">
        <v>90025731</v>
      </c>
      <c r="B132" s="2" t="s">
        <v>501</v>
      </c>
      <c r="C132" s="6">
        <v>46113</v>
      </c>
      <c r="D132" s="2" t="s">
        <v>301</v>
      </c>
      <c r="E132" s="3" t="s">
        <v>257</v>
      </c>
      <c r="F132" s="3" t="s">
        <v>258</v>
      </c>
      <c r="G132" s="3" t="s">
        <v>263</v>
      </c>
      <c r="H132" s="7" t="s">
        <v>500</v>
      </c>
      <c r="I132" s="2"/>
      <c r="J132" s="2"/>
    </row>
    <row r="133" spans="1:10" x14ac:dyDescent="0.35">
      <c r="A133" s="3">
        <v>90025734</v>
      </c>
      <c r="B133" s="2" t="s">
        <v>502</v>
      </c>
      <c r="C133" s="6">
        <v>46113</v>
      </c>
      <c r="D133" s="2" t="s">
        <v>287</v>
      </c>
      <c r="E133" s="3" t="s">
        <v>257</v>
      </c>
      <c r="F133" s="3" t="s">
        <v>258</v>
      </c>
      <c r="G133" s="3" t="s">
        <v>305</v>
      </c>
      <c r="H133" s="7" t="s">
        <v>500</v>
      </c>
      <c r="I133" s="2"/>
      <c r="J133" s="2"/>
    </row>
    <row r="134" spans="1:10" x14ac:dyDescent="0.35">
      <c r="A134" s="2"/>
      <c r="B134" s="2" t="s">
        <v>503</v>
      </c>
      <c r="C134" s="6">
        <v>46132</v>
      </c>
      <c r="D134" s="2" t="s">
        <v>266</v>
      </c>
      <c r="E134" s="3" t="s">
        <v>257</v>
      </c>
      <c r="F134" s="3" t="s">
        <v>258</v>
      </c>
      <c r="G134" s="3" t="s">
        <v>307</v>
      </c>
      <c r="H134" s="2"/>
      <c r="I134" s="2"/>
      <c r="J134" s="2"/>
    </row>
    <row r="135" spans="1:10" ht="15.5" x14ac:dyDescent="0.35">
      <c r="A135" s="2"/>
      <c r="B135" s="28" t="s">
        <v>504</v>
      </c>
      <c r="C135" s="2"/>
      <c r="D135" s="2" t="s">
        <v>330</v>
      </c>
      <c r="E135" s="3" t="s">
        <v>257</v>
      </c>
      <c r="F135" s="3" t="s">
        <v>258</v>
      </c>
      <c r="G135" s="3" t="s">
        <v>305</v>
      </c>
      <c r="H135" s="2"/>
      <c r="I135" s="2"/>
      <c r="J13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Bunsong FONG</cp:lastModifiedBy>
  <dcterms:created xsi:type="dcterms:W3CDTF">2026-05-15T09:57:11Z</dcterms:created>
  <dcterms:modified xsi:type="dcterms:W3CDTF">2026-05-18T10:14:48Z</dcterms:modified>
</cp:coreProperties>
</file>